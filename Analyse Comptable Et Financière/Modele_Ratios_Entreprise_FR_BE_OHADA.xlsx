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55d851b5ee45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amètres" sheetId="1" r:id="R3ad5c219629049fc"/>
    <x:sheet xmlns:r="http://schemas.openxmlformats.org/officeDocument/2006/relationships" name="Saisie_Bilan" sheetId="2" r:id="Rb2e5850ee95b4b9f"/>
    <x:sheet xmlns:r="http://schemas.openxmlformats.org/officeDocument/2006/relationships" name="Saisie_CR" sheetId="3" r:id="R2a699f22a70c4926"/>
    <x:sheet xmlns:r="http://schemas.openxmlformats.org/officeDocument/2006/relationships" name="Saisie_CF" sheetId="4" r:id="Rc2a7bff318924b0d"/>
    <x:sheet xmlns:r="http://schemas.openxmlformats.org/officeDocument/2006/relationships" name="Références" sheetId="5" r:id="Rec763c19f3e64be2"/>
    <x:sheet xmlns:r="http://schemas.openxmlformats.org/officeDocument/2006/relationships" name="Ratios" sheetId="6" r:id="R3f9203547b64442e"/>
    <x:sheet xmlns:r="http://schemas.openxmlformats.org/officeDocument/2006/relationships" name="Guide" sheetId="7" r:id="Ra7b5da57cea74de9"/>
  </x:sheets>
</x:workbook>
</file>

<file path=xl/comments1.xml><?xml version="1.0" encoding="utf-8"?>
<x:comments xmlns:x="http://schemas.openxmlformats.org/spreadsheetml/2006/main">
  <x:authors>
    <x:author>Modèle</x:author>
  </x:authors>
  <x:commentList>
    <x:comment ref="E5" authorId="0">
      <x:text>
        <x:r>
          <x:t>Saisir la trésorerie et équivalents (bilan).</x:t>
        </x:r>
      </x:text>
    </x:comment>
  </x:commentList>
</x:comments>
</file>

<file path=xl/comments2.xml><?xml version="1.0" encoding="utf-8"?>
<x:comments xmlns:x="http://schemas.openxmlformats.org/spreadsheetml/2006/main">
  <x:authors>
    <x:author>Modèle</x:author>
  </x:authors>
  <x:commentList>
    <x:comment ref="F3" authorId="0">
      <x:text>
        <x:r>
          <x:t>Bas = seuil bas recommandé. Modifiable.</x:t>
        </x:r>
      </x:text>
    </x:comment>
    <x:comment ref="G3" authorId="0">
      <x:text>
        <x:r>
          <x:t>Haut = seuil haut recommandé. Modifiable.</x:t>
        </x:r>
      </x:text>
    </x:comment>
    <x:comment ref="J3" authorId="0">
      <x:text>
        <x:r>
          <x:t>URLs de référence (à citer).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#,##0;[Red](#,##0);&quot;-&quot;"/>
    <x:numFmt numFmtId="165" formatCode="0.0%"/>
    <x:numFmt numFmtId="166" formatCode="0.0&quot;x&quot;"/>
    <x:numFmt numFmtId="167" formatCode="#,##0;[Red](#,##0);0"/>
  </x:numFmts>
  <x:fonts count="8">
    <x:font>
      <x:sz val="11"/>
      <x:color theme="1"/>
      <x:name val="Calibri"/>
      <x:family val="2"/>
      <x:scheme val="minor"/>
    </x:font>
    <x:font>
      <x:b/>
      <x:sz val="16"/>
      <x:color rgb="001F4E79"/>
      <x:name val="Calibri"/>
    </x:font>
    <x:font>
      <x:b/>
      <x:color rgb="00000000"/>
      <x:name val="Calibri"/>
    </x:font>
    <x:font>
      <x:color rgb="000000FF"/>
      <x:name val="Calibri"/>
    </x:font>
    <x:font>
      <x:b/>
      <x:sz val="14"/>
      <x:color rgb="001F4E79"/>
      <x:name val="Calibri"/>
    </x:font>
    <x:font>
      <x:b/>
      <x:color rgb="00FFFFFF"/>
      <x:name val="Calibri"/>
    </x:font>
    <x:font>
      <x:color rgb="00000000"/>
      <x:name val="Calibri"/>
    </x:font>
    <x:font>
      <x:b/>
      <x:color rgb="009C0006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00D9E1F2"/>
      </x:patternFill>
    </x:fill>
    <x:fill>
      <x:patternFill patternType="solid">
        <x:fgColor rgb="00F2F2F2"/>
      </x:patternFill>
    </x:fill>
    <x:fill>
      <x:patternFill patternType="solid">
        <x:fgColor rgb="00FFF2CC"/>
      </x:patternFill>
    </x:fill>
    <x:fill>
      <x:patternFill patternType="solid">
        <x:fgColor rgb="001F4E79"/>
      </x:patternFill>
    </x:fill>
    <x:fill>
      <x:patternFill patternType="solid">
        <x:fgColor rgb="00F9FBFD"/>
      </x:patternFill>
    </x:fill>
    <x:fill>
      <x:patternFill patternType="solid">
        <x:fgColor rgb="00FFC7CE"/>
      </x:patternFill>
    </x:fill>
  </x:fills>
  <x:borders count="6">
    <x:border>
      <x:left/>
      <x:right/>
      <x:top/>
      <x:bottom/>
      <x:diagonal/>
    </x:border>
    <x:border>
      <x:left style="thin">
        <x:color rgb="009E9E9E"/>
      </x:left>
      <x:right style="thin">
        <x:color rgb="009E9E9E"/>
      </x:right>
      <x:top style="thin">
        <x:color rgb="009E9E9E"/>
      </x:top>
      <x:bottom style="thin">
        <x:color rgb="009E9E9E"/>
      </x:bottom>
    </x:border>
    <x:border>
      <x:left/>
      <x:right/>
      <x:top style="thin">
        <x:color rgb="009E9E9E"/>
      </x:top>
      <x:bottom/>
      <x:diagonal/>
    </x:border>
    <x:border>
      <x:left/>
      <x:right style="thin">
        <x:color rgb="009E9E9E"/>
      </x:right>
      <x:top style="thin">
        <x:color rgb="009E9E9E"/>
      </x:top>
      <x:bottom/>
      <x:diagonal/>
    </x:border>
    <x:border>
      <x:left/>
      <x:right/>
      <x:top style="thin">
        <x:color rgb="009E9E9E"/>
      </x:top>
      <x:bottom style="thin">
        <x:color rgb="009E9E9E"/>
      </x:bottom>
      <x:diagonal/>
    </x:border>
    <x:border>
      <x:left/>
      <x:right style="thin">
        <x:color rgb="009E9E9E"/>
      </x:right>
      <x:top style="thin">
        <x:color rgb="009E9E9E"/>
      </x:top>
      <x:bottom style="thin">
        <x:color rgb="009E9E9E"/>
      </x:bottom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/>
    <x:xf numFmtId="0" fontId="2" fillId="2" borderId="1" xfId="0"/>
    <x:xf numFmtId="0" fontId="2" fillId="3" borderId="1" xfId="0" applyAlignment="1">
      <x:alignment horizontal="left" vertical="center"/>
    </x:xf>
    <x:xf numFmtId="0" fontId="0" fillId="0" borderId="4" xfId="0"/>
    <x:xf numFmtId="0" fontId="0" fillId="0" borderId="5" xfId="0"/>
    <x:xf numFmtId="0" fontId="3" fillId="4" borderId="1" xfId="0" applyAlignment="1">
      <x:alignment horizontal="left" vertical="center"/>
    </x:xf>
    <x:xf numFmtId="0" fontId="2" fillId="0" borderId="0" xfId="0"/>
    <x:xf numFmtId="0" fontId="0" fillId="0" borderId="0" xfId="0" applyAlignment="1">
      <x:alignment vertical="top" wrapText="1"/>
    </x:xf>
    <x:xf numFmtId="0" fontId="4" fillId="0" borderId="0" xfId="0"/>
    <x:xf numFmtId="0" fontId="5" fillId="5" borderId="1" xfId="0" applyAlignment="1">
      <x:alignment horizontal="center" vertical="center"/>
    </x:xf>
    <x:xf numFmtId="0" fontId="2" fillId="2" borderId="1" xfId="0" applyAlignment="1">
      <x:alignment horizontal="left" vertical="center"/>
    </x:xf>
    <x:xf numFmtId="0" fontId="0" fillId="6" borderId="1" xfId="0" applyAlignment="1">
      <x:alignment horizontal="left" vertical="center"/>
    </x:xf>
    <x:xf numFmtId="164" fontId="3" fillId="4" borderId="1" xfId="0" applyAlignment="1">
      <x:alignment horizontal="right" vertical="center"/>
    </x:xf>
    <x:xf numFmtId="0" fontId="0" fillId="0" borderId="1" xfId="0" applyAlignment="1">
      <x:alignment horizontal="center" vertical="center"/>
    </x:xf>
    <x:xf numFmtId="0" fontId="0" fillId="0" borderId="1" xfId="0" applyAlignment="1">
      <x:alignment vertical="top" wrapText="1"/>
    </x:xf>
    <x:xf numFmtId="164" fontId="6" fillId="0" borderId="1" xfId="0" applyAlignment="1">
      <x:alignment horizontal="right" vertical="center"/>
    </x:xf>
    <x:xf numFmtId="0" fontId="0" fillId="0" borderId="1" xfId="0" applyAlignment="1">
      <x:alignment horizontal="left" vertical="center"/>
    </x:xf>
    <x:xf numFmtId="165" fontId="0" fillId="0" borderId="1" xfId="0" applyAlignment="1">
      <x:alignment horizontal="left" vertical="center"/>
    </x:xf>
    <x:xf numFmtId="164" fontId="0" fillId="0" borderId="1" xfId="0" applyAlignment="1">
      <x:alignment horizontal="left" vertical="center"/>
    </x:xf>
    <x:xf numFmtId="166" fontId="0" fillId="0" borderId="1" xfId="0" applyAlignment="1">
      <x:alignment horizontal="left" vertical="center"/>
    </x:xf>
    <x:xf numFmtId="165" fontId="6" fillId="0" borderId="1" xfId="0" applyAlignment="1">
      <x:alignment horizontal="right" vertical="center"/>
    </x:xf>
    <x:xf numFmtId="0" fontId="0" fillId="0" borderId="1" xfId="0"/>
    <x:xf numFmtId="166" fontId="6" fillId="0" borderId="1" xfId="0" applyAlignment="1">
      <x:alignment horizontal="right" vertical="center"/>
    </x:xf>
    <x:xf numFmtId="0" fontId="7" fillId="7" borderId="0" xfId="0"/>
    <x:xf numFmtId="0" fontId="5" fillId="5" borderId="1" xfId="0"/>
    <x:xf numFmtId="167" fontId="0" fillId="0" borderId="1" xfId="0" applyAlignment="1">
      <x:alignment horizontal="left" vertical="center"/>
    </x:xf>
    <x:xf numFmtId="167" fontId="6" fillId="0" borderId="1" xfId="0" applyAlignment="1">
      <x:alignment horizontal="right" vertical="center"/>
    </x:xf>
  </x:cellXfs>
  <x:cellStyles count="1">
    <x:cellStyle name="Normal" xfId="0"/>
  </x:cellStyles>
  <x:dxfs count="3">
    <x:dxf>
      <x:font>
        <x:b/>
        <x:color rgb="00006100"/>
      </x:font>
      <x:fill>
        <x:patternFill>
          <x:bgColor rgb="00C6EFCE"/>
        </x:patternFill>
      </x:fill>
    </x:dxf>
    <x:dxf>
      <x:font>
        <x:b/>
        <x:color rgb="009C0006"/>
      </x:font>
      <x:fill>
        <x:patternFill>
          <x:bgColor rgb="00FFC7CE"/>
        </x:patternFill>
      </x:fill>
    </x:dxf>
    <x:dxf>
      <x:font>
        <x:b/>
        <x:color rgb="009C6500"/>
      </x:font>
      <x:fill>
        <x:patternFill>
          <x:bgColor rgb="00FFEB9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f8f163d74d49c5" /><Relationship Type="http://schemas.openxmlformats.org/officeDocument/2006/relationships/theme" Target="/xl/theme/theme1.xml" Id="Rb65f2dca04184f0d" /><Relationship Type="http://schemas.openxmlformats.org/officeDocument/2006/relationships/sharedStrings" Target="/xl/sharedStrings.xml" Id="R41f9ec978e9147a1" /><Relationship Type="http://schemas.openxmlformats.org/officeDocument/2006/relationships/worksheet" Target="/xl/worksheets/sheet1.xml" Id="R3ad5c219629049fc" /><Relationship Type="http://schemas.openxmlformats.org/officeDocument/2006/relationships/worksheet" Target="/xl/worksheets/sheet2.xml" Id="Rb2e5850ee95b4b9f" /><Relationship Type="http://schemas.openxmlformats.org/officeDocument/2006/relationships/worksheet" Target="/xl/worksheets/sheet3.xml" Id="R2a699f22a70c4926" /><Relationship Type="http://schemas.openxmlformats.org/officeDocument/2006/relationships/worksheet" Target="/xl/worksheets/sheet4.xml" Id="Rc2a7bff318924b0d" /><Relationship Type="http://schemas.openxmlformats.org/officeDocument/2006/relationships/worksheet" Target="/xl/worksheets/sheet5.xml" Id="Rec763c19f3e64be2" /><Relationship Type="http://schemas.openxmlformats.org/officeDocument/2006/relationships/worksheet" Target="/xl/worksheets/sheet6.xml" Id="R3f9203547b64442e" /><Relationship Type="http://schemas.openxmlformats.org/officeDocument/2006/relationships/worksheet" Target="/xl/worksheets/sheet7.xml" Id="Ra7b5da57cea74de9" /><Relationship Type="http://schemas.microsoft.com/office/2017/10/relationships/person" Target="/xl/persons/person.xml" Id="Rf54fa008871b43bd" /></Relationships>
</file>

<file path=xl/persons/person.xml><?xml version="1.0" encoding="utf-8"?>
<xltc:personList xmlns:xltc="http://schemas.microsoft.com/office/spreadsheetml/2018/threadedcomments">
  <xltc:person displayName="Modèle" id="{EAF184E2-8488-5ACF-BFB9-4E37ADDA918B}"/>
  <xltc:person displayName="Modèle" id="{397A1491-9344-D943-FF92-EB801B8016BD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faad446651b94baa" /><Relationship Type="http://schemas.openxmlformats.org/officeDocument/2006/relationships/vmlDrawing" Target="/xl/drawings/vmldrawing.vml" Id="Rccbbd58a5ef94e0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2.xml" Id="Rcb8307c253d34273" /><Relationship Type="http://schemas.openxmlformats.org/officeDocument/2006/relationships/vmlDrawing" Target="/xl/drawings/vmldrawing2.vml" Id="R74ed4ecb41b1481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customWidth="1"/>
    <x:col min="2" max="2" width="12" customWidth="1"/>
    <x:col min="3" max="3" width="12" customWidth="1"/>
    <x:col min="4" max="4" width="28" customWidth="1"/>
    <x:col min="5" max="5" width="12" customWidth="1"/>
    <x:col min="6" max="6" width="12" customWidth="1"/>
  </x:cols>
  <x:sheetData>
    <x:row r="1">
      <x:c r="A1" s="1" t="inlineStr">
        <x:is>
          <x:t xml:space="preserve">Modèle d’analyse financière – Ratios &amp; Benchmarks</x:t>
        </x:is>
      </x:c>
    </x:row>
    <x:row r="3">
      <x:c r="A3" s="2" t="inlineStr">
        <x:is>
          <x:t xml:space="preserve">Paramètres</x:t>
        </x:is>
      </x:c>
      <x:c r="B3" s="4" t="n"/>
      <x:c r="C3" s="4" t="n"/>
      <x:c r="D3" s="4" t="n"/>
      <x:c r="E3" s="4" t="n"/>
      <x:c r="F3" s="5" t="n"/>
    </x:row>
    <x:row r="5">
      <x:c r="A5" s="3" t="inlineStr">
        <x:is>
          <x:t xml:space="preserve">Secteur</x:t>
        </x:is>
      </x:c>
      <x:c r="B5" s="4" t="n"/>
      <x:c r="C5" s="5" t="n"/>
      <x:c r="D5" s="6" t="inlineStr">
        <x:is>
          <x:t xml:space="preserve">Industrie</x:t>
        </x:is>
      </x:c>
      <x:c r="E5" s="4" t="n"/>
      <x:c r="F5" s="5" t="n"/>
    </x:row>
    <x:row r="6">
      <x:c r="A6" s="3" t="inlineStr">
        <x:is>
          <x:t xml:space="preserve">Pays / Zone</x:t>
        </x:is>
      </x:c>
      <x:c r="B6" s="4" t="n"/>
      <x:c r="C6" s="5" t="n"/>
      <x:c r="D6" s="6" t="inlineStr">
        <x:is>
          <x:t xml:space="preserve">France</x:t>
        </x:is>
      </x:c>
      <x:c r="E6" s="4" t="n"/>
      <x:c r="F6" s="5" t="n"/>
    </x:row>
    <x:row r="7">
      <x:c r="A7" s="3" t="inlineStr">
        <x:is>
          <x:t xml:space="preserve">Exercice (année N)</x:t>
        </x:is>
      </x:c>
      <x:c r="B7" s="4" t="n"/>
      <x:c r="C7" s="5" t="n"/>
      <x:c r="D7" s="6" t="n">
        <x:v>2025</x:v>
      </x:c>
      <x:c r="E7" s="4" t="n"/>
      <x:c r="F7" s="5" t="n"/>
    </x:row>
    <x:row r="8">
      <x:c r="A8" s="3" t="inlineStr">
        <x:is>
          <x:t xml:space="preserve">Devise (pour affichage)</x:t>
        </x:is>
      </x:c>
      <x:c r="B8" s="4" t="n"/>
      <x:c r="C8" s="5" t="n"/>
      <x:c r="D8" s="6" t="inlineStr">
        <x:is>
          <x:t xml:space="preserve">EUR</x:t>
        </x:is>
      </x:c>
      <x:c r="E8" s="4" t="n"/>
      <x:c r="F8" s="5" t="n"/>
    </x:row>
    <x:row r="9">
      <x:c r="A9" s="3" t="inlineStr">
        <x:is>
          <x:t xml:space="preserve">Mode Benchmarks</x:t>
        </x:is>
      </x:c>
      <x:c r="B9" s="4" t="n"/>
      <x:c r="C9" s="5" t="n"/>
      <x:c r="D9" s="6" t="inlineStr">
        <x:is>
          <x:t xml:space="preserve">Générique (modifiable)</x:t>
        </x:is>
      </x:c>
      <x:c r="E9" s="4" t="n"/>
      <x:c r="F9" s="5" t="n"/>
    </x:row>
    <x:row r="12">
      <x:c r="A12" s="7" t="inlineStr">
        <x:is>
          <x:t xml:space="preserve">Astuce</x:t>
        </x:is>
      </x:c>
    </x:row>
    <x:row r="13">
      <x:c r="A13" s="8" t="inlineStr">
        <x:is>
          <x:t xml:space="preserve">Les cellules jaunes (texte bleu) sont à saisir. Les autres sont calculées automatiquement.</x:t>
        </x:is>
      </x:c>
    </x:row>
    <x:row r="14"/>
  </x:sheetData>
  <x:mergeCells>
    <x:mergeCell ref="D7:F7"/>
    <x:mergeCell ref="D5:F5"/>
    <x:mergeCell ref="A5:C5"/>
    <x:mergeCell ref="D8:F8"/>
    <x:mergeCell ref="A1:F1"/>
    <x:mergeCell ref="A8:C8"/>
    <x:mergeCell ref="A6:C6"/>
    <x:mergeCell ref="A9:C9"/>
    <x:mergeCell ref="D9:F9"/>
    <x:mergeCell ref="A13:F14"/>
    <x:mergeCell ref="A3:F3"/>
    <x:mergeCell ref="A7:C7"/>
    <x:mergeCell ref="D6:F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customWidth="1"/>
    <x:col min="2" max="2" width="18" customWidth="1"/>
    <x:col min="3" max="3" width="18" customWidth="1"/>
    <x:col min="4" max="4" width="10" customWidth="1"/>
    <x:col min="5" max="5" width="34" customWidth="1"/>
  </x:cols>
  <x:sheetData>
    <x:row r="1">
      <x:c r="A1" s="9" t="inlineStr">
        <x:is>
          <x:t xml:space="preserve">Bilan – Saisie (N-1 et N)</x:t>
        </x:is>
      </x:c>
    </x:row>
    <x:row r="3">
      <x:c r="A3" s="10" t="inlineStr">
        <x:is>
          <x:t xml:space="preserve">Poste</x:t>
        </x:is>
      </x:c>
      <x:c r="B3" s="10" t="inlineStr">
        <x:is>
          <x:t xml:space="preserve">N-1</x:t>
        </x:is>
      </x:c>
      <x:c r="C3" s="10" t="inlineStr">
        <x:is>
          <x:t xml:space="preserve">N</x:t>
        </x:is>
      </x:c>
      <x:c r="D3" s="10" t="inlineStr">
        <x:is>
          <x:t xml:space="preserve">Unité</x:t>
        </x:is>
      </x:c>
      <x:c r="E3" s="10" t="inlineStr">
        <x:is>
          <x:t xml:space="preserve">Notes</x:t>
        </x:is>
      </x:c>
    </x:row>
    <x:row r="4" ht="20" customHeight="1">
      <x:c r="A4" s="11" t="inlineStr">
        <x:is>
          <x:t xml:space="preserve">ACTIF</x:t>
        </x:is>
      </x:c>
      <x:c r="B4" s="4" t="n"/>
      <x:c r="C4" s="4" t="n"/>
      <x:c r="D4" s="4" t="n"/>
      <x:c r="E4" s="5" t="n"/>
    </x:row>
    <x:row r="5">
      <x:c r="A5" s="12" t="inlineStr">
        <x:is>
          <x:t xml:space="preserve">Trésorerie &amp; équivalents</x:t>
        </x:is>
      </x:c>
      <x:c r="B5" s="13" t="n"/>
      <x:c r="C5" s="13" t="n"/>
      <x:c r="D5" s="14" t="inlineStr">
        <x:is>
          <x:t xml:space="preserve">€</x:t>
        </x:is>
      </x:c>
      <x:c r="E5" s="15" t="inlineStr">
        <x:is>
          <x:t xml:space="preserve"/>
        </x:is>
      </x:c>
    </x:row>
    <x:row r="6">
      <x:c r="A6" s="12" t="inlineStr">
        <x:is>
          <x:t xml:space="preserve">Créances clients</x:t>
        </x:is>
      </x:c>
      <x:c r="B6" s="13" t="n"/>
      <x:c r="C6" s="13" t="n"/>
      <x:c r="D6" s="14" t="inlineStr">
        <x:is>
          <x:t xml:space="preserve">€</x:t>
        </x:is>
      </x:c>
      <x:c r="E6" s="15" t="inlineStr">
        <x:is>
          <x:t xml:space="preserve"/>
        </x:is>
      </x:c>
    </x:row>
    <x:row r="7">
      <x:c r="A7" s="12" t="inlineStr">
        <x:is>
          <x:t xml:space="preserve">Stocks</x:t>
        </x:is>
      </x:c>
      <x:c r="B7" s="13" t="n"/>
      <x:c r="C7" s="13" t="n"/>
      <x:c r="D7" s="14" t="inlineStr">
        <x:is>
          <x:t xml:space="preserve">€</x:t>
        </x:is>
      </x:c>
      <x:c r="E7" s="15" t="inlineStr">
        <x:is>
          <x:t xml:space="preserve"/>
        </x:is>
      </x:c>
    </x:row>
    <x:row r="8">
      <x:c r="A8" s="12" t="inlineStr">
        <x:is>
          <x:t xml:space="preserve">Autres actifs courants</x:t>
        </x:is>
      </x:c>
      <x:c r="B8" s="13" t="n"/>
      <x:c r="C8" s="13" t="n"/>
      <x:c r="D8" s="14" t="inlineStr">
        <x:is>
          <x:t xml:space="preserve">€</x:t>
        </x:is>
      </x:c>
      <x:c r="E8" s="15" t="inlineStr">
        <x:is>
          <x:t xml:space="preserve"/>
        </x:is>
      </x:c>
    </x:row>
    <x:row r="9">
      <x:c r="A9" s="12" t="inlineStr">
        <x:is>
          <x:t xml:space="preserve">Total actifs courants</x:t>
        </x:is>
      </x:c>
      <x:c r="B9" s="16">
        <x:f>IF(COUNT(B5:B8)=0,"",SUM(B5:B8))</x:f>
      </x:c>
      <x:c r="C9" s="16">
        <x:f>IF(COUNT(C5:C8)=0,"",SUM(C5:C8))</x:f>
      </x:c>
      <x:c r="D9" s="14" t="inlineStr">
        <x:is>
          <x:t xml:space="preserve">€</x:t>
        </x:is>
      </x:c>
      <x:c r="E9" s="15" t="inlineStr">
        <x:is>
          <x:t xml:space="preserve">Calculé</x:t>
        </x:is>
      </x:c>
    </x:row>
    <x:row r="10">
      <x:c r="A10" s="12" t="inlineStr">
        <x:is>
          <x:t xml:space="preserve">Immobilisations corporelles (PPE)</x:t>
        </x:is>
      </x:c>
      <x:c r="B10" s="13" t="n"/>
      <x:c r="C10" s="13" t="n"/>
      <x:c r="D10" s="14" t="inlineStr">
        <x:is>
          <x:t xml:space="preserve">€</x:t>
        </x:is>
      </x:c>
      <x:c r="E10" s="15" t="inlineStr">
        <x:is>
          <x:t xml:space="preserve"/>
        </x:is>
      </x:c>
    </x:row>
    <x:row r="11">
      <x:c r="A11" s="12" t="inlineStr">
        <x:is>
          <x:t xml:space="preserve">Immobilisations incorporelles</x:t>
        </x:is>
      </x:c>
      <x:c r="B11" s="13" t="n"/>
      <x:c r="C11" s="13" t="n"/>
      <x:c r="D11" s="14" t="inlineStr">
        <x:is>
          <x:t xml:space="preserve">€</x:t>
        </x:is>
      </x:c>
      <x:c r="E11" s="15" t="inlineStr">
        <x:is>
          <x:t xml:space="preserve"/>
        </x:is>
      </x:c>
    </x:row>
    <x:row r="12">
      <x:c r="A12" s="12" t="inlineStr">
        <x:is>
          <x:t xml:space="preserve">Autres actifs non courants</x:t>
        </x:is>
      </x:c>
      <x:c r="B12" s="13" t="n"/>
      <x:c r="C12" s="13" t="n"/>
      <x:c r="D12" s="14" t="inlineStr">
        <x:is>
          <x:t xml:space="preserve">€</x:t>
        </x:is>
      </x:c>
      <x:c r="E12" s="15" t="inlineStr">
        <x:is>
          <x:t xml:space="preserve"/>
        </x:is>
      </x:c>
    </x:row>
    <x:row r="13">
      <x:c r="A13" s="12" t="inlineStr">
        <x:is>
          <x:t xml:space="preserve">Total actifs</x:t>
        </x:is>
      </x:c>
      <x:c r="B13" s="16">
        <x:f>IF(COUNT(B9:B12)=0,"",SUM(B9,B10:B12))</x:f>
      </x:c>
      <x:c r="C13" s="16">
        <x:f>IF(COUNT(C9:C12)=0,"",SUM(C9,C10:C12))</x:f>
      </x:c>
      <x:c r="D13" s="14" t="inlineStr">
        <x:is>
          <x:t xml:space="preserve">€</x:t>
        </x:is>
      </x:c>
      <x:c r="E13" s="15" t="inlineStr">
        <x:is>
          <x:t xml:space="preserve">Calculé</x:t>
        </x:is>
      </x:c>
    </x:row>
    <x:row r="14" ht="6" customHeight="1"/>
    <x:row r="15" ht="20" customHeight="1">
      <x:c r="A15" s="11" t="inlineStr">
        <x:is>
          <x:t xml:space="preserve">PASSIF</x:t>
        </x:is>
      </x:c>
      <x:c r="B15" s="4" t="n"/>
      <x:c r="C15" s="4" t="n"/>
      <x:c r="D15" s="4" t="n"/>
      <x:c r="E15" s="5" t="n"/>
    </x:row>
    <x:row r="16">
      <x:c r="A16" s="12" t="inlineStr">
        <x:is>
          <x:t xml:space="preserve">Dettes fournisseurs</x:t>
        </x:is>
      </x:c>
      <x:c r="B16" s="13" t="n"/>
      <x:c r="C16" s="13" t="n"/>
      <x:c r="D16" s="14" t="inlineStr">
        <x:is>
          <x:t xml:space="preserve">€</x:t>
        </x:is>
      </x:c>
      <x:c r="E16" s="15" t="inlineStr">
        <x:is>
          <x:t xml:space="preserve"/>
        </x:is>
      </x:c>
    </x:row>
    <x:row r="17">
      <x:c r="A17" s="12" t="inlineStr">
        <x:is>
          <x:t xml:space="preserve">Autres passifs courants</x:t>
        </x:is>
      </x:c>
      <x:c r="B17" s="13" t="n"/>
      <x:c r="C17" s="13" t="n"/>
      <x:c r="D17" s="14" t="inlineStr">
        <x:is>
          <x:t xml:space="preserve">€</x:t>
        </x:is>
      </x:c>
      <x:c r="E17" s="15" t="inlineStr">
        <x:is>
          <x:t xml:space="preserve"/>
        </x:is>
      </x:c>
    </x:row>
    <x:row r="18">
      <x:c r="A18" s="12" t="inlineStr">
        <x:is>
          <x:t xml:space="preserve">Dettes financières CT</x:t>
        </x:is>
      </x:c>
      <x:c r="B18" s="13" t="n"/>
      <x:c r="C18" s="13" t="n"/>
      <x:c r="D18" s="14" t="inlineStr">
        <x:is>
          <x:t xml:space="preserve">€</x:t>
        </x:is>
      </x:c>
      <x:c r="E18" s="15" t="inlineStr">
        <x:is>
          <x:t xml:space="preserve">Court terme</x:t>
        </x:is>
      </x:c>
    </x:row>
    <x:row r="19">
      <x:c r="A19" s="12" t="inlineStr">
        <x:is>
          <x:t xml:space="preserve">Total passifs courants</x:t>
        </x:is>
      </x:c>
      <x:c r="B19" s="16">
        <x:f>IF(COUNT(B15:B17)=0,"",SUM(B15:B17))</x:f>
      </x:c>
      <x:c r="C19" s="16">
        <x:f>IF(COUNT(C15:C17)=0,"",SUM(C15:C17))</x:f>
      </x:c>
      <x:c r="D19" s="14" t="inlineStr">
        <x:is>
          <x:t xml:space="preserve">€</x:t>
        </x:is>
      </x:c>
      <x:c r="E19" s="15" t="inlineStr">
        <x:is>
          <x:t xml:space="preserve">Calculé</x:t>
        </x:is>
      </x:c>
    </x:row>
    <x:row r="20">
      <x:c r="A20" s="12" t="inlineStr">
        <x:is>
          <x:t xml:space="preserve">Dettes financières LT</x:t>
        </x:is>
      </x:c>
      <x:c r="B20" s="13" t="n"/>
      <x:c r="C20" s="13" t="n"/>
      <x:c r="D20" s="14" t="inlineStr">
        <x:is>
          <x:t xml:space="preserve">€</x:t>
        </x:is>
      </x:c>
      <x:c r="E20" s="15" t="inlineStr">
        <x:is>
          <x:t xml:space="preserve">Long terme</x:t>
        </x:is>
      </x:c>
    </x:row>
    <x:row r="21">
      <x:c r="A21" s="12" t="inlineStr">
        <x:is>
          <x:t xml:space="preserve">Autres passifs non courants</x:t>
        </x:is>
      </x:c>
      <x:c r="B21" s="13" t="n"/>
      <x:c r="C21" s="13" t="n"/>
      <x:c r="D21" s="14" t="inlineStr">
        <x:is>
          <x:t xml:space="preserve">€</x:t>
        </x:is>
      </x:c>
      <x:c r="E21" s="15" t="inlineStr">
        <x:is>
          <x:t xml:space="preserve"/>
        </x:is>
      </x:c>
    </x:row>
    <x:row r="22">
      <x:c r="A22" s="12" t="inlineStr">
        <x:is>
          <x:t xml:space="preserve">Total dettes</x:t>
        </x:is>
      </x:c>
      <x:c r="B22" s="16">
        <x:f>IF(COUNT(B18:B20)=0,"",SUM(B18:B20))</x:f>
      </x:c>
      <x:c r="C22" s="16">
        <x:f>IF(COUNT(C18:C20)=0,"",SUM(C18:C20))</x:f>
      </x:c>
      <x:c r="D22" s="14" t="inlineStr">
        <x:is>
          <x:t xml:space="preserve">€</x:t>
        </x:is>
      </x:c>
      <x:c r="E22" s="15" t="inlineStr">
        <x:is>
          <x:t xml:space="preserve">Calculé</x:t>
        </x:is>
      </x:c>
    </x:row>
    <x:row r="23">
      <x:c r="A23" s="12" t="inlineStr">
        <x:is>
          <x:t xml:space="preserve">Capitaux propres (saisis)</x:t>
        </x:is>
      </x:c>
      <x:c r="B23" s="13" t="n"/>
      <x:c r="C23" s="13" t="n"/>
      <x:c r="D23" s="14" t="inlineStr">
        <x:is>
          <x:t xml:space="preserve">€</x:t>
        </x:is>
      </x:c>
      <x:c r="E23" s="15" t="inlineStr">
        <x:is>
          <x:t xml:space="preserve"/>
        </x:is>
      </x:c>
    </x:row>
    <x:row r="24">
      <x:c r="A24" s="12" t="inlineStr">
        <x:is>
          <x:t xml:space="preserve">Total passif</x:t>
        </x:is>
      </x:c>
      <x:c r="B24" s="16">
        <x:f>IF(COUNT(B21:B22)=0,"",SUM(B21:B22))</x:f>
      </x:c>
      <x:c r="C24" s="16">
        <x:f>IF(COUNT(C21:C22)=0,"",SUM(C21:C22))</x:f>
      </x:c>
      <x:c r="D24" s="14" t="inlineStr">
        <x:is>
          <x:t xml:space="preserve">€</x:t>
        </x:is>
      </x:c>
      <x:c r="E24" s="15" t="inlineStr">
        <x:is>
          <x:t xml:space="preserve">Calculé</x:t>
        </x:is>
      </x:c>
    </x:row>
    <x:row r="25">
      <x:c r="A25" s="12" t="inlineStr">
        <x:is>
          <x:t xml:space="preserve">Contrôle bilan (Actif - Passif)</x:t>
        </x:is>
      </x:c>
      <x:c r="B25" s="16">
        <x:f>IF(OR(B13="",B23=""),"",B13-B23)</x:f>
      </x:c>
      <x:c r="C25" s="16">
        <x:f>IF(OR(C13="",C23=""),"",C13-C23)</x:f>
      </x:c>
      <x:c r="D25" s="14" t="inlineStr">
        <x:is>
          <x:t xml:space="preserve">€</x:t>
        </x:is>
      </x:c>
      <x:c r="E25" s="15" t="inlineStr">
        <x:is>
          <x:t xml:space="preserve">Doit ≈ 0</x:t>
        </x:is>
      </x:c>
    </x:row>
  </x:sheetData>
  <x:mergeCells>
    <x:mergeCell ref="A15:E15"/>
    <x:mergeCell ref="A1:E1"/>
    <x:mergeCell ref="A4:E4"/>
  </x:mergeCells>
  <x:pageMargins left="0.7" right="0.7" top="0.75" bottom="0.75" header="0.3" footer="0.3"/>
  <x:legacyDrawing xmlns:r="http://schemas.openxmlformats.org/officeDocument/2006/relationships" r:id="Rccbbd58a5ef94e0f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customWidth="1"/>
    <x:col min="2" max="2" width="18" customWidth="1"/>
    <x:col min="3" max="3" width="18" customWidth="1"/>
    <x:col min="4" max="4" width="10" customWidth="1"/>
    <x:col min="5" max="5" width="34" customWidth="1"/>
  </x:cols>
  <x:sheetData>
    <x:row r="1">
      <x:c r="A1" s="9" t="inlineStr">
        <x:is>
          <x:t xml:space="preserve">Compte de résultat – Saisie (N-1 et N)</x:t>
        </x:is>
      </x:c>
    </x:row>
    <x:row r="3">
      <x:c r="A3" s="10" t="inlineStr">
        <x:is>
          <x:t xml:space="preserve">Poste</x:t>
        </x:is>
      </x:c>
      <x:c r="B3" s="10" t="inlineStr">
        <x:is>
          <x:t xml:space="preserve">N-1</x:t>
        </x:is>
      </x:c>
      <x:c r="C3" s="10" t="inlineStr">
        <x:is>
          <x:t xml:space="preserve">N</x:t>
        </x:is>
      </x:c>
      <x:c r="D3" s="10" t="inlineStr">
        <x:is>
          <x:t xml:space="preserve">Unité</x:t>
        </x:is>
      </x:c>
      <x:c r="E3" s="10" t="inlineStr">
        <x:is>
          <x:t xml:space="preserve">Notes</x:t>
        </x:is>
      </x:c>
    </x:row>
    <x:row r="4">
      <x:c r="A4" s="12" t="inlineStr">
        <x:is>
          <x:t xml:space="preserve">Chiffre d’affaires (CA)</x:t>
        </x:is>
      </x:c>
      <x:c r="B4" s="13" t="n"/>
      <x:c r="C4" s="13" t="n"/>
      <x:c r="D4" s="14" t="inlineStr">
        <x:is>
          <x:t xml:space="preserve">€</x:t>
        </x:is>
      </x:c>
      <x:c r="E4" s="15" t="inlineStr">
        <x:is>
          <x:t xml:space="preserve"/>
        </x:is>
      </x:c>
    </x:row>
    <x:row r="5">
      <x:c r="A5" s="12" t="inlineStr">
        <x:is>
          <x:t xml:space="preserve">Coût des ventes (COGS)</x:t>
        </x:is>
      </x:c>
      <x:c r="B5" s="13" t="n"/>
      <x:c r="C5" s="13" t="n"/>
      <x:c r="D5" s="14" t="inlineStr">
        <x:is>
          <x:t xml:space="preserve">€</x:t>
        </x:is>
      </x:c>
      <x:c r="E5" s="15" t="inlineStr">
        <x:is>
          <x:t xml:space="preserve"/>
        </x:is>
      </x:c>
    </x:row>
    <x:row r="6">
      <x:c r="A6" s="12" t="inlineStr">
        <x:is>
          <x:t xml:space="preserve">Marge brute</x:t>
        </x:is>
      </x:c>
      <x:c r="B6" s="16">
        <x:f>IF(COUNT(B4:B5)=0,"",B4-B5)</x:f>
      </x:c>
      <x:c r="C6" s="16">
        <x:f>IF(COUNT(C4:C5)=0,"",C4-C5)</x:f>
      </x:c>
      <x:c r="D6" s="14" t="inlineStr">
        <x:is>
          <x:t xml:space="preserve">€</x:t>
        </x:is>
      </x:c>
      <x:c r="E6" s="15" t="inlineStr">
        <x:is>
          <x:t xml:space="preserve">Calculé</x:t>
        </x:is>
      </x:c>
    </x:row>
    <x:row r="7">
      <x:c r="A7" s="12" t="inlineStr">
        <x:is>
          <x:t xml:space="preserve">Charges d’exploitation (Opex, hors D&amp;A)</x:t>
        </x:is>
      </x:c>
      <x:c r="B7" s="13" t="n"/>
      <x:c r="C7" s="13" t="n"/>
      <x:c r="D7" s="14" t="inlineStr">
        <x:is>
          <x:t xml:space="preserve">€</x:t>
        </x:is>
      </x:c>
      <x:c r="E7" s="15" t="inlineStr">
        <x:is>
          <x:t xml:space="preserve"/>
        </x:is>
      </x:c>
    </x:row>
    <x:row r="8">
      <x:c r="A8" s="12" t="inlineStr">
        <x:is>
          <x:t xml:space="preserve">EBITDA</x:t>
        </x:is>
      </x:c>
      <x:c r="B8" s="16">
        <x:f>IF(COUNT(B6:B7)=0,"",B6-B7)</x:f>
      </x:c>
      <x:c r="C8" s="16">
        <x:f>IF(COUNT(C6:C7)=0,"",C6-C7)</x:f>
      </x:c>
      <x:c r="D8" s="14" t="inlineStr">
        <x:is>
          <x:t xml:space="preserve">€</x:t>
        </x:is>
      </x:c>
      <x:c r="E8" s="15" t="inlineStr">
        <x:is>
          <x:t xml:space="preserve">Calculé</x:t>
        </x:is>
      </x:c>
    </x:row>
    <x:row r="9">
      <x:c r="A9" s="12" t="inlineStr">
        <x:is>
          <x:t xml:space="preserve">Amortissements &amp; dépréciations (D&amp;A)</x:t>
        </x:is>
      </x:c>
      <x:c r="B9" s="13" t="n"/>
      <x:c r="C9" s="13" t="n"/>
      <x:c r="D9" s="14" t="inlineStr">
        <x:is>
          <x:t xml:space="preserve">€</x:t>
        </x:is>
      </x:c>
      <x:c r="E9" s="15" t="inlineStr">
        <x:is>
          <x:t xml:space="preserve"/>
        </x:is>
      </x:c>
    </x:row>
    <x:row r="10">
      <x:c r="A10" s="12" t="inlineStr">
        <x:is>
          <x:t xml:space="preserve">EBIT (résultat opérationnel)</x:t>
        </x:is>
      </x:c>
      <x:c r="B10" s="16">
        <x:f>IF(COUNT(B8:B9)=0,"",B8-B9)</x:f>
      </x:c>
      <x:c r="C10" s="16">
        <x:f>IF(COUNT(C8:C9)=0,"",C8-C9)</x:f>
      </x:c>
      <x:c r="D10" s="14" t="inlineStr">
        <x:is>
          <x:t xml:space="preserve">€</x:t>
        </x:is>
      </x:c>
      <x:c r="E10" s="15" t="inlineStr">
        <x:is>
          <x:t xml:space="preserve">Calculé</x:t>
        </x:is>
      </x:c>
    </x:row>
    <x:row r="11">
      <x:c r="A11" s="12" t="inlineStr">
        <x:is>
          <x:t xml:space="preserve">Charges d’intérêts</x:t>
        </x:is>
      </x:c>
      <x:c r="B11" s="13" t="n"/>
      <x:c r="C11" s="13" t="n"/>
      <x:c r="D11" s="14" t="inlineStr">
        <x:is>
          <x:t xml:space="preserve">€</x:t>
        </x:is>
      </x:c>
      <x:c r="E11" s="15" t="inlineStr">
        <x:is>
          <x:t xml:space="preserve"/>
        </x:is>
      </x:c>
    </x:row>
    <x:row r="12">
      <x:c r="A12" s="12" t="inlineStr">
        <x:is>
          <x:t xml:space="preserve">Impôts</x:t>
        </x:is>
      </x:c>
      <x:c r="B12" s="13" t="n"/>
      <x:c r="C12" s="13" t="n"/>
      <x:c r="D12" s="14" t="inlineStr">
        <x:is>
          <x:t xml:space="preserve">€</x:t>
        </x:is>
      </x:c>
      <x:c r="E12" s="15" t="inlineStr">
        <x:is>
          <x:t xml:space="preserve"/>
        </x:is>
      </x:c>
    </x:row>
    <x:row r="13">
      <x:c r="A13" s="12" t="inlineStr">
        <x:is>
          <x:t xml:space="preserve">Résultat net (RN)</x:t>
        </x:is>
      </x:c>
      <x:c r="B13" s="16">
        <x:f>IF(COUNT(B10:B12)=0,"",B10-B11-B12)</x:f>
      </x:c>
      <x:c r="C13" s="16">
        <x:f>IF(COUNT(C10:C12)=0,"",C10-C11-C12)</x:f>
      </x:c>
      <x:c r="D13" s="14" t="inlineStr">
        <x:is>
          <x:t xml:space="preserve">€</x:t>
        </x:is>
      </x:c>
      <x:c r="E13" s="15" t="inlineStr">
        <x:is>
          <x:t xml:space="preserve">Calculé</x:t>
        </x:is>
      </x:c>
    </x:row>
    <x:row r="14">
      <x:c r="A14" s="12" t="inlineStr">
        <x:is>
          <x:t xml:space="preserve">Achats (si différent du COGS) – option</x:t>
        </x:is>
      </x:c>
      <x:c r="B14" s="13" t="n"/>
      <x:c r="C14" s="13" t="n"/>
      <x:c r="D14" s="14" t="inlineStr">
        <x:is>
          <x:t xml:space="preserve">€</x:t>
        </x:is>
      </x:c>
      <x:c r="E14" s="15" t="inlineStr">
        <x:is>
          <x:t xml:space="preserve">Pour DPO si besoin</x:t>
        </x:is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customWidth="1"/>
    <x:col min="2" max="2" width="18" customWidth="1"/>
    <x:col min="3" max="3" width="18" customWidth="1"/>
    <x:col min="4" max="4" width="10" customWidth="1"/>
    <x:col min="5" max="5" width="34" customWidth="1"/>
  </x:cols>
  <x:sheetData>
    <x:row r="1">
      <x:c r="A1" s="9" t="inlineStr">
        <x:is>
          <x:t xml:space="preserve">Tableau des flux de trésorerie – Saisie (N-1 et N)</x:t>
        </x:is>
      </x:c>
    </x:row>
    <x:row r="3">
      <x:c r="A3" s="10" t="inlineStr">
        <x:is>
          <x:t xml:space="preserve">Poste</x:t>
        </x:is>
      </x:c>
      <x:c r="B3" s="10" t="inlineStr">
        <x:is>
          <x:t xml:space="preserve">N-1</x:t>
        </x:is>
      </x:c>
      <x:c r="C3" s="10" t="inlineStr">
        <x:is>
          <x:t xml:space="preserve">N</x:t>
        </x:is>
      </x:c>
      <x:c r="D3" s="10" t="inlineStr">
        <x:is>
          <x:t xml:space="preserve">Unité</x:t>
        </x:is>
      </x:c>
      <x:c r="E3" s="10" t="inlineStr">
        <x:is>
          <x:t xml:space="preserve">Notes</x:t>
        </x:is>
      </x:c>
    </x:row>
    <x:row r="4">
      <x:c r="A4" s="12" t="inlineStr">
        <x:is>
          <x:t xml:space="preserve">Cash-flow opérationnel (CFO)</x:t>
        </x:is>
      </x:c>
      <x:c r="B4" s="13" t="n"/>
      <x:c r="C4" s="13" t="n"/>
      <x:c r="D4" s="14" t="inlineStr">
        <x:is>
          <x:t xml:space="preserve">€</x:t>
        </x:is>
      </x:c>
      <x:c r="E4" s="15" t="inlineStr">
        <x:is>
          <x:t xml:space="preserve"/>
        </x:is>
      </x:c>
    </x:row>
    <x:row r="5">
      <x:c r="A5" s="12" t="inlineStr">
        <x:is>
          <x:t xml:space="preserve">Capex (investissements)</x:t>
        </x:is>
      </x:c>
      <x:c r="B5" s="13" t="n"/>
      <x:c r="C5" s="13" t="n"/>
      <x:c r="D5" s="14" t="inlineStr">
        <x:is>
          <x:t xml:space="preserve">€</x:t>
        </x:is>
      </x:c>
      <x:c r="E5" s="15" t="inlineStr">
        <x:is>
          <x:t xml:space="preserve">Négatif si sortie de cash</x:t>
        </x:is>
      </x:c>
    </x:row>
    <x:row r="6">
      <x:c r="A6" s="12" t="inlineStr">
        <x:is>
          <x:t xml:space="preserve">Cash-flow libre (FCF) – calcul</x:t>
        </x:is>
      </x:c>
      <x:c r="B6" s="16">
        <x:f>IF(COUNT(B4:B5)=0,"",B4+B5)</x:f>
      </x:c>
      <x:c r="C6" s="16">
        <x:f>IF(COUNT(C4:C5)=0,"",C4+C5)</x:f>
      </x:c>
      <x:c r="D6" s="14" t="inlineStr">
        <x:is>
          <x:t xml:space="preserve">€</x:t>
        </x:is>
      </x:c>
      <x:c r="E6" s="15" t="inlineStr">
        <x:is>
          <x:t xml:space="preserve">CFO + Capex</x:t>
        </x:is>
      </x:c>
    </x:row>
    <x:row r="7">
      <x:c r="A7" s="12" t="inlineStr">
        <x:is>
          <x:t xml:space="preserve">Remboursements de principal (dette)</x:t>
        </x:is>
      </x:c>
      <x:c r="B7" s="13" t="n"/>
      <x:c r="C7" s="13" t="n"/>
      <x:c r="D7" s="14" t="inlineStr">
        <x:is>
          <x:t xml:space="preserve">€</x:t>
        </x:is>
      </x:c>
      <x:c r="E7" s="15" t="inlineStr">
        <x:is>
          <x:t xml:space="preserve">Service dette (principal)</x:t>
        </x:is>
      </x:c>
    </x:row>
    <x:row r="8">
      <x:c r="A8" s="12" t="inlineStr">
        <x:is>
          <x:t xml:space="preserve">Intérêts payés (cash) – option</x:t>
        </x:is>
      </x:c>
      <x:c r="B8" s="13" t="n"/>
      <x:c r="C8" s="13" t="n"/>
      <x:c r="D8" s="14" t="inlineStr">
        <x:is>
          <x:t xml:space="preserve">€</x:t>
        </x:is>
      </x:c>
      <x:c r="E8" s="15" t="inlineStr">
        <x:is>
          <x:t xml:space="preserve">Si séparé</x:t>
        </x:is>
      </x:c>
    </x:row>
    <x:row r="9">
      <x:c r="A9" s="12" t="inlineStr">
        <x:is>
          <x:t xml:space="preserve">Dividendes / rachats</x:t>
        </x:is>
      </x:c>
      <x:c r="B9" s="13" t="n"/>
      <x:c r="C9" s="13" t="n"/>
      <x:c r="D9" s="14" t="inlineStr">
        <x:is>
          <x:t xml:space="preserve">€</x:t>
        </x:is>
      </x:c>
      <x:c r="E9" s="15" t="inlineStr">
        <x:is>
          <x:t xml:space="preserve"/>
        </x:is>
      </x:c>
    </x:row>
    <x:row r="10">
      <x:c r="A10" s="12" t="inlineStr">
        <x:is>
          <x:t xml:space="preserve">Nouvelles dettes tirées</x:t>
        </x:is>
      </x:c>
      <x:c r="B10" s="13" t="n"/>
      <x:c r="C10" s="13" t="n"/>
      <x:c r="D10" s="14" t="inlineStr">
        <x:is>
          <x:t xml:space="preserve">€</x:t>
        </x:is>
      </x:c>
      <x:c r="E10" s="15" t="inlineStr">
        <x:is>
          <x:t xml:space="preserve"/>
        </x:is>
      </x:c>
    </x:row>
    <x:row r="11">
      <x:c r="A11" s="12" t="inlineStr">
        <x:is>
          <x:t xml:space="preserve">Variation nette de dette – calcul</x:t>
        </x:is>
      </x:c>
      <x:c r="B11" s="16">
        <x:f>IF(COUNT(B7:B10)=0,"",B10-B7)</x:f>
      </x:c>
      <x:c r="C11" s="16">
        <x:f>IF(COUNT(C7:C10)=0,"",C10-C7)</x:f>
      </x:c>
      <x:c r="D11" s="14" t="inlineStr">
        <x:is>
          <x:t xml:space="preserve">€</x:t>
        </x:is>
      </x:c>
      <x:c r="E11" s="15" t="inlineStr">
        <x:is>
          <x:t xml:space="preserve">Nouvelles dettes - remboursements</x:t>
        </x:is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customWidth="1"/>
    <x:col min="2" max="2" width="16" customWidth="1"/>
    <x:col min="3" max="3" width="14" customWidth="1"/>
    <x:col min="4" max="4" width="12" customWidth="1"/>
    <x:col min="5" max="5" width="26" customWidth="1"/>
    <x:col min="6" max="6" width="10" customWidth="1"/>
    <x:col min="7" max="7" width="10" customWidth="1"/>
    <x:col min="8" max="8" width="10" customWidth="1"/>
    <x:col min="9" max="9" width="12" customWidth="1"/>
    <x:col min="10" max="10" width="44" customWidth="1"/>
    <x:col min="11" max="11" width="44" customWidth="1"/>
  </x:cols>
  <x:sheetData>
    <x:row r="1">
      <x:c r="A1" s="9" t="inlineStr">
        <x:is>
          <x:t xml:space="preserve">Références (benchmarks) – par secteur et zone</x:t>
        </x:is>
      </x:c>
    </x:row>
    <x:row r="3">
      <x:c r="A3" s="10" t="inlineStr">
        <x:is>
          <x:t xml:space="preserve">Clé</x:t>
        </x:is>
      </x:c>
      <x:c r="B3" s="10" t="inlineStr">
        <x:is>
          <x:t xml:space="preserve">Zone</x:t>
        </x:is>
      </x:c>
      <x:c r="C3" s="10" t="inlineStr">
        <x:is>
          <x:t xml:space="preserve">Secteur</x:t>
        </x:is>
      </x:c>
      <x:c r="D3" s="10" t="inlineStr">
        <x:is>
          <x:t xml:space="preserve">ID</x:t>
        </x:is>
      </x:c>
      <x:c r="E3" s="10" t="inlineStr">
        <x:is>
          <x:t xml:space="preserve">Ratio</x:t>
        </x:is>
      </x:c>
      <x:c r="F3" s="10" t="inlineStr">
        <x:is>
          <x:t xml:space="preserve">Bas</x:t>
        </x:is>
      </x:c>
      <x:c r="G3" s="10" t="inlineStr">
        <x:is>
          <x:t xml:space="preserve">Haut</x:t>
        </x:is>
      </x:c>
      <x:c r="H3" s="10" t="inlineStr">
        <x:is>
          <x:t xml:space="preserve">Unité</x:t>
        </x:is>
      </x:c>
      <x:c r="I3" s="10" t="inlineStr">
        <x:is>
          <x:t xml:space="preserve">Direction</x:t>
        </x:is>
      </x:c>
      <x:c r="J3" s="10" t="inlineStr">
        <x:is>
          <x:t xml:space="preserve">Source (URL)</x:t>
        </x:is>
      </x:c>
      <x:c r="K3" s="10" t="inlineStr">
        <x:is>
          <x:t xml:space="preserve">Note</x:t>
        </x:is>
      </x:c>
    </x:row>
    <x:row r="4">
      <x:c r="A4" s="17" t="inlineStr">
        <x:is>
          <x:t xml:space="preserve">France|Industrie|M_GROSS</x:t>
        </x:is>
      </x:c>
      <x:c r="B4" s="17" t="inlineStr">
        <x:is>
          <x:t xml:space="preserve">France</x:t>
        </x:is>
      </x:c>
      <x:c r="C4" s="17" t="inlineStr">
        <x:is>
          <x:t xml:space="preserve">Industrie</x:t>
        </x:is>
      </x:c>
      <x:c r="D4" s="17" t="inlineStr">
        <x:is>
          <x:t xml:space="preserve">M_GROSS</x:t>
        </x:is>
      </x:c>
      <x:c r="E4" s="17" t="inlineStr">
        <x:is>
          <x:t xml:space="preserve">Marge brute</x:t>
        </x:is>
      </x:c>
      <x:c r="F4" s="18" t="n">
        <x:v>0.2</x:v>
      </x:c>
      <x:c r="G4" s="18" t="n">
        <x:v>0.45</x:v>
      </x:c>
      <x:c r="H4" s="17" t="inlineStr">
        <x:is>
          <x:t xml:space="preserve">%</x:t>
        </x:is>
      </x:c>
      <x:c r="I4" s="17" t="inlineStr">
        <x:is>
          <x:t xml:space="preserve">HIGH_GOOD</x:t>
        </x:is>
      </x:c>
      <x:c r="J4" s="15" t="inlineStr">
        <x:is>
          <x:t xml:space="preserve">https://www.banque-france.fr/fr/publications-et-statistiques/statistiques/fascicules-dindicateurs-sectoriels</x:t>
        </x:is>
      </x:c>
      <x:c r="K4" s="15" t="inlineStr">
        <x:is>
          <x:t xml:space="preserve">Repères génériques. À adapter selon taille/maturité; remplacez par médianes/quartiles sectoriels si disponibles.</x:t>
        </x:is>
      </x:c>
    </x:row>
    <x:row r="5">
      <x:c r="A5" s="17" t="inlineStr">
        <x:is>
          <x:t xml:space="preserve">France|Industrie|M_EBITDA</x:t>
        </x:is>
      </x:c>
      <x:c r="B5" s="17" t="inlineStr">
        <x:is>
          <x:t xml:space="preserve">France</x:t>
        </x:is>
      </x:c>
      <x:c r="C5" s="17" t="inlineStr">
        <x:is>
          <x:t xml:space="preserve">Industrie</x:t>
        </x:is>
      </x:c>
      <x:c r="D5" s="17" t="inlineStr">
        <x:is>
          <x:t xml:space="preserve">M_EBITDA</x:t>
        </x:is>
      </x:c>
      <x:c r="E5" s="17" t="inlineStr">
        <x:is>
          <x:t xml:space="preserve">Marge EBITDA</x:t>
        </x:is>
      </x:c>
      <x:c r="F5" s="18" t="n">
        <x:v>0.1</x:v>
      </x:c>
      <x:c r="G5" s="18" t="n">
        <x:v>0.22</x:v>
      </x:c>
      <x:c r="H5" s="17" t="inlineStr">
        <x:is>
          <x:t xml:space="preserve">%</x:t>
        </x:is>
      </x:c>
      <x:c r="I5" s="17" t="inlineStr">
        <x:is>
          <x:t xml:space="preserve">HIGH_GOOD</x:t>
        </x:is>
      </x:c>
      <x:c r="J5" s="15" t="inlineStr">
        <x:is>
          <x:t xml:space="preserve">https://www.banque-france.fr/fr/publications-et-statistiques/statistiques/fascicules-dindicateurs-sectoriels</x:t>
        </x:is>
      </x:c>
      <x:c r="K5" s="15" t="inlineStr">
        <x:is>
          <x:t xml:space="preserve">Repères génériques. À adapter selon taille/maturité; remplacez par médianes/quartiles sectoriels si disponibles.</x:t>
        </x:is>
      </x:c>
    </x:row>
    <x:row r="6">
      <x:c r="A6" s="17" t="inlineStr">
        <x:is>
          <x:t xml:space="preserve">France|Industrie|M_EBIT</x:t>
        </x:is>
      </x:c>
      <x:c r="B6" s="17" t="inlineStr">
        <x:is>
          <x:t xml:space="preserve">France</x:t>
        </x:is>
      </x:c>
      <x:c r="C6" s="17" t="inlineStr">
        <x:is>
          <x:t xml:space="preserve">Industrie</x:t>
        </x:is>
      </x:c>
      <x:c r="D6" s="17" t="inlineStr">
        <x:is>
          <x:t xml:space="preserve">M_EBIT</x:t>
        </x:is>
      </x:c>
      <x:c r="E6" s="17" t="inlineStr">
        <x:is>
          <x:t xml:space="preserve">Marge EBIT</x:t>
        </x:is>
      </x:c>
      <x:c r="F6" s="18" t="n">
        <x:v>0.06</x:v>
      </x:c>
      <x:c r="G6" s="18" t="n">
        <x:v>0.15</x:v>
      </x:c>
      <x:c r="H6" s="17" t="inlineStr">
        <x:is>
          <x:t xml:space="preserve">%</x:t>
        </x:is>
      </x:c>
      <x:c r="I6" s="17" t="inlineStr">
        <x:is>
          <x:t xml:space="preserve">HIGH_GOOD</x:t>
        </x:is>
      </x:c>
      <x:c r="J6" s="15" t="inlineStr">
        <x:is>
          <x:t xml:space="preserve">https://www.banque-france.fr/fr/publications-et-statistiques/statistiques/fascicules-dindicateurs-sectoriels</x:t>
        </x:is>
      </x:c>
      <x:c r="K6" s="15" t="inlineStr">
        <x:is>
          <x:t xml:space="preserve">Repères génériques. À adapter selon taille/maturité; remplacez par médianes/quartiles sectoriels si disponibles.</x:t>
        </x:is>
      </x:c>
    </x:row>
    <x:row r="7">
      <x:c r="A7" s="17" t="inlineStr">
        <x:is>
          <x:t xml:space="preserve">France|Industrie|M_NET</x:t>
        </x:is>
      </x:c>
      <x:c r="B7" s="17" t="inlineStr">
        <x:is>
          <x:t xml:space="preserve">France</x:t>
        </x:is>
      </x:c>
      <x:c r="C7" s="17" t="inlineStr">
        <x:is>
          <x:t xml:space="preserve">Industrie</x:t>
        </x:is>
      </x:c>
      <x:c r="D7" s="17" t="inlineStr">
        <x:is>
          <x:t xml:space="preserve">M_NET</x:t>
        </x:is>
      </x:c>
      <x:c r="E7" s="17" t="inlineStr">
        <x:is>
          <x:t xml:space="preserve">Marge nette</x:t>
        </x:is>
      </x:c>
      <x:c r="F7" s="18" t="n">
        <x:v>0.03</x:v>
      </x:c>
      <x:c r="G7" s="18" t="n">
        <x:v>0.1</x:v>
      </x:c>
      <x:c r="H7" s="17" t="inlineStr">
        <x:is>
          <x:t xml:space="preserve">%</x:t>
        </x:is>
      </x:c>
      <x:c r="I7" s="17" t="inlineStr">
        <x:is>
          <x:t xml:space="preserve">HIGH_GOOD</x:t>
        </x:is>
      </x:c>
      <x:c r="J7" s="15" t="inlineStr">
        <x:is>
          <x:t xml:space="preserve">https://www.banque-france.fr/fr/publications-et-statistiques/statistiques/fascicules-dindicateurs-sectoriels</x:t>
        </x:is>
      </x:c>
      <x:c r="K7" s="15" t="inlineStr">
        <x:is>
          <x:t xml:space="preserve">Repères génériques. À adapter selon taille/maturité; remplacez par médianes/quartiles sectoriels si disponibles.</x:t>
        </x:is>
      </x:c>
    </x:row>
    <x:row r="8">
      <x:c r="A8" s="17" t="inlineStr">
        <x:is>
          <x:t xml:space="preserve">France|Industrie|G_REV</x:t>
        </x:is>
      </x:c>
      <x:c r="B8" s="17" t="inlineStr">
        <x:is>
          <x:t xml:space="preserve">France</x:t>
        </x:is>
      </x:c>
      <x:c r="C8" s="17" t="inlineStr">
        <x:is>
          <x:t xml:space="preserve">Industrie</x:t>
        </x:is>
      </x:c>
      <x:c r="D8" s="17" t="inlineStr">
        <x:is>
          <x:t xml:space="preserve">G_REV</x:t>
        </x:is>
      </x:c>
      <x:c r="E8" s="17" t="inlineStr">
        <x:is>
          <x:t xml:space="preserve">Croissance CA</x:t>
        </x:is>
      </x:c>
      <x:c r="F8" s="18" t="n">
        <x:v>-0.05</x:v>
      </x:c>
      <x:c r="G8" s="18" t="n">
        <x:v>0.15</x:v>
      </x:c>
      <x:c r="H8" s="17" t="inlineStr">
        <x:is>
          <x:t xml:space="preserve">%</x:t>
        </x:is>
      </x:c>
      <x:c r="I8" s="17" t="inlineStr">
        <x:is>
          <x:t xml:space="preserve">HIGH_GOOD</x:t>
        </x:is>
      </x:c>
      <x:c r="J8" s="15" t="inlineStr">
        <x:is>
          <x:t xml:space="preserve">https://www.banque-france.fr/fr/publications-et-statistiques/statistiques/fascicules-dindicateurs-sectoriels</x:t>
        </x:is>
      </x:c>
      <x:c r="K8" s="15" t="inlineStr">
        <x:is>
          <x:t xml:space="preserve">Repères génériques. À adapter selon taille/maturité; remplacez par médianes/quartiles sectoriels si disponibles.</x:t>
        </x:is>
      </x:c>
    </x:row>
    <x:row r="9">
      <x:c r="A9" s="17" t="inlineStr">
        <x:is>
          <x:t xml:space="preserve">France|Industrie|G_NI</x:t>
        </x:is>
      </x:c>
      <x:c r="B9" s="17" t="inlineStr">
        <x:is>
          <x:t xml:space="preserve">France</x:t>
        </x:is>
      </x:c>
      <x:c r="C9" s="17" t="inlineStr">
        <x:is>
          <x:t xml:space="preserve">Industrie</x:t>
        </x:is>
      </x:c>
      <x:c r="D9" s="17" t="inlineStr">
        <x:is>
          <x:t xml:space="preserve">G_NI</x:t>
        </x:is>
      </x:c>
      <x:c r="E9" s="17" t="inlineStr">
        <x:is>
          <x:t xml:space="preserve">Croissance RN</x:t>
        </x:is>
      </x:c>
      <x:c r="F9" s="18" t="n">
        <x:v>-0.1</x:v>
      </x:c>
      <x:c r="G9" s="18" t="n">
        <x:v>0.2</x:v>
      </x:c>
      <x:c r="H9" s="17" t="inlineStr">
        <x:is>
          <x:t xml:space="preserve">%</x:t>
        </x:is>
      </x:c>
      <x:c r="I9" s="17" t="inlineStr">
        <x:is>
          <x:t xml:space="preserve">HIGH_GOOD</x:t>
        </x:is>
      </x:c>
      <x:c r="J9" s="15" t="inlineStr">
        <x:is>
          <x:t xml:space="preserve">https://www.banque-france.fr/fr/publications-et-statistiques/statistiques/fascicules-dindicateurs-sectoriels</x:t>
        </x:is>
      </x:c>
      <x:c r="K9" s="15" t="inlineStr">
        <x:is>
          <x:t xml:space="preserve">Repères génériques. À adapter selon taille/maturité; remplacez par médianes/quartiles sectoriels si disponibles.</x:t>
        </x:is>
      </x:c>
    </x:row>
    <x:row r="10">
      <x:c r="A10" s="17" t="inlineStr">
        <x:is>
          <x:t xml:space="preserve">France|Industrie|D_INV</x:t>
        </x:is>
      </x:c>
      <x:c r="B10" s="17" t="inlineStr">
        <x:is>
          <x:t xml:space="preserve">France</x:t>
        </x:is>
      </x:c>
      <x:c r="C10" s="17" t="inlineStr">
        <x:is>
          <x:t xml:space="preserve">Industrie</x:t>
        </x:is>
      </x:c>
      <x:c r="D10" s="17" t="inlineStr">
        <x:is>
          <x:t xml:space="preserve">D_INV</x:t>
        </x:is>
      </x:c>
      <x:c r="E10" s="17" t="inlineStr">
        <x:is>
          <x:t xml:space="preserve">Jours de stocks</x:t>
        </x:is>
      </x:c>
      <x:c r="F10" s="26" t="n">
        <x:v>30</x:v>
      </x:c>
      <x:c r="G10" s="26" t="n">
        <x:v>90</x:v>
      </x:c>
      <x:c r="H10" s="17" t="inlineStr">
        <x:is>
          <x:t xml:space="preserve">jours</x:t>
        </x:is>
      </x:c>
      <x:c r="I10" s="17" t="inlineStr">
        <x:is>
          <x:t xml:space="preserve">LOW_GOOD</x:t>
        </x:is>
      </x:c>
      <x:c r="J10" s="15" t="inlineStr">
        <x:is>
          <x:t xml:space="preserve">https://www.banque-france.fr/fr/publications-et-statistiques/statistiques/fascicules-dindicateurs-sectoriels</x:t>
        </x:is>
      </x:c>
      <x:c r="K10" s="15" t="inlineStr">
        <x:is>
          <x:t xml:space="preserve">Repères génériques. À adapter selon taille/maturité; remplacez par médianes/quartiles sectoriels si disponibles.</x:t>
        </x:is>
      </x:c>
    </x:row>
    <x:row r="11">
      <x:c r="A11" s="17" t="inlineStr">
        <x:is>
          <x:t xml:space="preserve">France|Industrie|DSO</x:t>
        </x:is>
      </x:c>
      <x:c r="B11" s="17" t="inlineStr">
        <x:is>
          <x:t xml:space="preserve">France</x:t>
        </x:is>
      </x:c>
      <x:c r="C11" s="17" t="inlineStr">
        <x:is>
          <x:t xml:space="preserve">Industrie</x:t>
        </x:is>
      </x:c>
      <x:c r="D11" s="17" t="inlineStr">
        <x:is>
          <x:t xml:space="preserve">DSO</x:t>
        </x:is>
      </x:c>
      <x:c r="E11" s="17" t="inlineStr">
        <x:is>
          <x:t xml:space="preserve">DSO (jours clients)</x:t>
        </x:is>
      </x:c>
      <x:c r="F11" s="26" t="n">
        <x:v>35</x:v>
      </x:c>
      <x:c r="G11" s="26" t="n">
        <x:v>70</x:v>
      </x:c>
      <x:c r="H11" s="17" t="inlineStr">
        <x:is>
          <x:t xml:space="preserve">jours</x:t>
        </x:is>
      </x:c>
      <x:c r="I11" s="17" t="inlineStr">
        <x:is>
          <x:t xml:space="preserve">LOW_GOOD</x:t>
        </x:is>
      </x:c>
      <x:c r="J11" s="15" t="inlineStr">
        <x:is>
          <x:t xml:space="preserve">https://www.banque-france.fr/fr/publications-et-statistiques/statistiques/fascicules-dindicateurs-sectoriels</x:t>
        </x:is>
      </x:c>
      <x:c r="K11" s="15" t="inlineStr">
        <x:is>
          <x:t xml:space="preserve">Repère. Délais B2B encadrés (max ~60 jours sauf accords).</x:t>
        </x:is>
      </x:c>
    </x:row>
    <x:row r="12">
      <x:c r="A12" s="17" t="inlineStr">
        <x:is>
          <x:t xml:space="preserve">France|Industrie|DPO</x:t>
        </x:is>
      </x:c>
      <x:c r="B12" s="17" t="inlineStr">
        <x:is>
          <x:t xml:space="preserve">France</x:t>
        </x:is>
      </x:c>
      <x:c r="C12" s="17" t="inlineStr">
        <x:is>
          <x:t xml:space="preserve">Industrie</x:t>
        </x:is>
      </x:c>
      <x:c r="D12" s="17" t="inlineStr">
        <x:is>
          <x:t xml:space="preserve">DPO</x:t>
        </x:is>
      </x:c>
      <x:c r="E12" s="17" t="inlineStr">
        <x:is>
          <x:t xml:space="preserve">DPO (jours fournisseurs)</x:t>
        </x:is>
      </x:c>
      <x:c r="F12" s="26" t="n">
        <x:v>40</x:v>
      </x:c>
      <x:c r="G12" s="26" t="n">
        <x:v>90</x:v>
      </x:c>
      <x:c r="H12" s="17" t="inlineStr">
        <x:is>
          <x:t xml:space="preserve">jours</x:t>
        </x:is>
      </x:c>
      <x:c r="I12" s="17" t="inlineStr">
        <x:is>
          <x:t xml:space="preserve">RANGE</x:t>
        </x:is>
      </x:c>
      <x:c r="J12" s="15" t="inlineStr">
        <x:is>
          <x:t xml:space="preserve">https://www.banque-france.fr/fr/publications-et-statistiques/statistiques/fascicules-dindicateurs-sectoriels</x:t>
        </x:is>
      </x:c>
      <x:c r="K12" s="15" t="inlineStr">
        <x:is>
          <x:t xml:space="preserve">Repère. Délais B2B encadrés (max ~60 jours sauf accords).</x:t>
        </x:is>
      </x:c>
    </x:row>
    <x:row r="13">
      <x:c r="A13" s="17" t="inlineStr">
        <x:is>
          <x:t xml:space="preserve">France|Industrie|CCC</x:t>
        </x:is>
      </x:c>
      <x:c r="B13" s="17" t="inlineStr">
        <x:is>
          <x:t xml:space="preserve">France</x:t>
        </x:is>
      </x:c>
      <x:c r="C13" s="17" t="inlineStr">
        <x:is>
          <x:t xml:space="preserve">Industrie</x:t>
        </x:is>
      </x:c>
      <x:c r="D13" s="17" t="inlineStr">
        <x:is>
          <x:t xml:space="preserve">CCC</x:t>
        </x:is>
      </x:c>
      <x:c r="E13" s="17" t="inlineStr">
        <x:is>
          <x:t xml:space="preserve">Cycle de conversion cash (jours)</x:t>
        </x:is>
      </x:c>
      <x:c r="F13" s="26" t="n">
        <x:v>0</x:v>
      </x:c>
      <x:c r="G13" s="26" t="n">
        <x:v>60</x:v>
      </x:c>
      <x:c r="H13" s="17" t="inlineStr">
        <x:is>
          <x:t xml:space="preserve">jours</x:t>
        </x:is>
      </x:c>
      <x:c r="I13" s="17" t="inlineStr">
        <x:is>
          <x:t xml:space="preserve">LOW_GOOD</x:t>
        </x:is>
      </x:c>
      <x:c r="J13" s="15" t="inlineStr">
        <x:is>
          <x:t xml:space="preserve">https://www.banque-france.fr/fr/publications-et-statistiques/statistiques/fascicules-dindicateurs-sectoriels</x:t>
        </x:is>
      </x:c>
      <x:c r="K13" s="15" t="inlineStr">
        <x:is>
          <x:t xml:space="preserve">Repères génériques. À adapter selon taille/maturité; remplacez par médianes/quartiles sectoriels si disponibles.</x:t>
        </x:is>
      </x:c>
    </x:row>
    <x:row r="14">
      <x:c r="A14" s="17" t="inlineStr">
        <x:is>
          <x:t xml:space="preserve">France|Industrie|BFR_REV</x:t>
        </x:is>
      </x:c>
      <x:c r="B14" s="17" t="inlineStr">
        <x:is>
          <x:t xml:space="preserve">France</x:t>
        </x:is>
      </x:c>
      <x:c r="C14" s="17" t="inlineStr">
        <x:is>
          <x:t xml:space="preserve">Industrie</x:t>
        </x:is>
      </x:c>
      <x:c r="D14" s="17" t="inlineStr">
        <x:is>
          <x:t xml:space="preserve">BFR_REV</x:t>
        </x:is>
      </x:c>
      <x:c r="E14" s="17" t="inlineStr">
        <x:is>
          <x:t xml:space="preserve">BFR / CA</x:t>
        </x:is>
      </x:c>
      <x:c r="F14" s="18" t="n">
        <x:v>-0.05</x:v>
      </x:c>
      <x:c r="G14" s="18" t="n">
        <x:v>0.2</x:v>
      </x:c>
      <x:c r="H14" s="17" t="inlineStr">
        <x:is>
          <x:t xml:space="preserve">%</x:t>
        </x:is>
      </x:c>
      <x:c r="I14" s="17" t="inlineStr">
        <x:is>
          <x:t xml:space="preserve">RANGE</x:t>
        </x:is>
      </x:c>
      <x:c r="J14" s="15" t="inlineStr">
        <x:is>
          <x:t xml:space="preserve">https://www.banque-france.fr/fr/publications-et-statistiques/statistiques/fascicules-dindicateurs-sectoriels</x:t>
        </x:is>
      </x:c>
      <x:c r="K14" s="15" t="inlineStr">
        <x:is>
          <x:t xml:space="preserve">Repères génériques. À adapter selon taille/maturité; remplacez par médianes/quartiles sectoriels si disponibles.</x:t>
        </x:is>
      </x:c>
    </x:row>
    <x:row r="15">
      <x:c r="A15" s="17" t="inlineStr">
        <x:is>
          <x:t xml:space="preserve">France|Industrie|EQ_RATIO</x:t>
        </x:is>
      </x:c>
      <x:c r="B15" s="17" t="inlineStr">
        <x:is>
          <x:t xml:space="preserve">France</x:t>
        </x:is>
      </x:c>
      <x:c r="C15" s="17" t="inlineStr">
        <x:is>
          <x:t xml:space="preserve">Industrie</x:t>
        </x:is>
      </x:c>
      <x:c r="D15" s="17" t="inlineStr">
        <x:is>
          <x:t xml:space="preserve">EQ_RATIO</x:t>
        </x:is>
      </x:c>
      <x:c r="E15" s="17" t="inlineStr">
        <x:is>
          <x:t xml:space="preserve">Autonomie financière (CP/Total bilan)</x:t>
        </x:is>
      </x:c>
      <x:c r="F15" s="18" t="n">
        <x:v>0.3</x:v>
      </x:c>
      <x:c r="G15" s="18" t="n">
        <x:v>0.6</x:v>
      </x:c>
      <x:c r="H15" s="17" t="inlineStr">
        <x:is>
          <x:t xml:space="preserve">%</x:t>
        </x:is>
      </x:c>
      <x:c r="I15" s="17" t="inlineStr">
        <x:is>
          <x:t xml:space="preserve">HIGH_GOOD</x:t>
        </x:is>
      </x:c>
      <x:c r="J15" s="15" t="inlineStr">
        <x:is>
          <x:t xml:space="preserve">https://www.banque-france.fr/fr/publications-et-statistiques/statistiques/fascicules-dindicateurs-sectoriels</x:t>
        </x:is>
      </x:c>
      <x:c r="K15" s="15" t="inlineStr">
        <x:is>
          <x:t xml:space="preserve">Repères génériques. À adapter selon taille/maturité; remplacez par médianes/quartiles sectoriels si disponibles.</x:t>
        </x:is>
      </x:c>
    </x:row>
    <x:row r="16">
      <x:c r="A16" s="17" t="inlineStr">
        <x:is>
          <x:t xml:space="preserve">France|Industrie|GEARING</x:t>
        </x:is>
      </x:c>
      <x:c r="B16" s="17" t="inlineStr">
        <x:is>
          <x:t xml:space="preserve">France</x:t>
        </x:is>
      </x:c>
      <x:c r="C16" s="17" t="inlineStr">
        <x:is>
          <x:t xml:space="preserve">Industrie</x:t>
        </x:is>
      </x:c>
      <x:c r="D16" s="17" t="inlineStr">
        <x:is>
          <x:t xml:space="preserve">GEARING</x:t>
        </x:is>
      </x:c>
      <x:c r="E16" s="17" t="inlineStr">
        <x:is>
          <x:t xml:space="preserve">Gearing (Dette nette/CP)</x:t>
        </x:is>
      </x:c>
      <x:c r="F16" s="20" t="n">
        <x:v>0</x:v>
      </x:c>
      <x:c r="G16" s="20" t="n">
        <x:v>1</x:v>
      </x:c>
      <x:c r="H16" s="17" t="inlineStr">
        <x:is>
          <x:t xml:space="preserve">x</x:t>
        </x:is>
      </x:c>
      <x:c r="I16" s="17" t="inlineStr">
        <x:is>
          <x:t xml:space="preserve">LOW_GOOD</x:t>
        </x:is>
      </x:c>
      <x:c r="J16" s="15" t="inlineStr">
        <x:is>
          <x:t xml:space="preserve">https://www.banque-france.fr/fr/publications-et-statistiques/statistiques/fascicules-dindicateurs-sectoriels</x:t>
        </x:is>
      </x:c>
      <x:c r="K16" s="15" t="inlineStr">
        <x:is>
          <x:t xml:space="preserve">Repères génériques. À adapter selon taille/maturité; remplacez par médianes/quartiles sectoriels si disponibles.</x:t>
        </x:is>
      </x:c>
    </x:row>
    <x:row r="17">
      <x:c r="A17" s="17" t="inlineStr">
        <x:is>
          <x:t xml:space="preserve">France|Industrie|CURR</x:t>
        </x:is>
      </x:c>
      <x:c r="B17" s="17" t="inlineStr">
        <x:is>
          <x:t xml:space="preserve">France</x:t>
        </x:is>
      </x:c>
      <x:c r="C17" s="17" t="inlineStr">
        <x:is>
          <x:t xml:space="preserve">Industrie</x:t>
        </x:is>
      </x:c>
      <x:c r="D17" s="17" t="inlineStr">
        <x:is>
          <x:t xml:space="preserve">CURR</x:t>
        </x:is>
      </x:c>
      <x:c r="E17" s="17" t="inlineStr">
        <x:is>
          <x:t xml:space="preserve">Current ratio</x:t>
        </x:is>
      </x:c>
      <x:c r="F17" s="20" t="n">
        <x:v>1.2</x:v>
      </x:c>
      <x:c r="G17" s="20" t="n">
        <x:v>2.2</x:v>
      </x:c>
      <x:c r="H17" s="17" t="inlineStr">
        <x:is>
          <x:t xml:space="preserve">x</x:t>
        </x:is>
      </x:c>
      <x:c r="I17" s="17" t="inlineStr">
        <x:is>
          <x:t xml:space="preserve">RANGE</x:t>
        </x:is>
      </x:c>
      <x:c r="J17" s="15" t="inlineStr">
        <x:is>
          <x:t xml:space="preserve">https://www.banque-france.fr/fr/publications-et-statistiques/statistiques/fascicules-dindicateurs-sectoriels</x:t>
        </x:is>
      </x:c>
      <x:c r="K17" s="15" t="inlineStr">
        <x:is>
          <x:t xml:space="preserve">Repères génériques. À adapter selon taille/maturité; remplacez par médianes/quartiles sectoriels si disponibles.</x:t>
        </x:is>
      </x:c>
    </x:row>
    <x:row r="18">
      <x:c r="A18" s="17" t="inlineStr">
        <x:is>
          <x:t xml:space="preserve">France|Industrie|QUICK</x:t>
        </x:is>
      </x:c>
      <x:c r="B18" s="17" t="inlineStr">
        <x:is>
          <x:t xml:space="preserve">France</x:t>
        </x:is>
      </x:c>
      <x:c r="C18" s="17" t="inlineStr">
        <x:is>
          <x:t xml:space="preserve">Industrie</x:t>
        </x:is>
      </x:c>
      <x:c r="D18" s="17" t="inlineStr">
        <x:is>
          <x:t xml:space="preserve">QUICK</x:t>
        </x:is>
      </x:c>
      <x:c r="E18" s="17" t="inlineStr">
        <x:is>
          <x:t xml:space="preserve">Quick ratio</x:t>
        </x:is>
      </x:c>
      <x:c r="F18" s="20" t="n">
        <x:v>0.9</x:v>
      </x:c>
      <x:c r="G18" s="20" t="n">
        <x:v>1.6</x:v>
      </x:c>
      <x:c r="H18" s="17" t="inlineStr">
        <x:is>
          <x:t xml:space="preserve">x</x:t>
        </x:is>
      </x:c>
      <x:c r="I18" s="17" t="inlineStr">
        <x:is>
          <x:t xml:space="preserve">RANGE</x:t>
        </x:is>
      </x:c>
      <x:c r="J18" s="15" t="inlineStr">
        <x:is>
          <x:t xml:space="preserve">https://www.banque-france.fr/fr/publications-et-statistiques/statistiques/fascicules-dindicateurs-sectoriels</x:t>
        </x:is>
      </x:c>
      <x:c r="K18" s="15" t="inlineStr">
        <x:is>
          <x:t xml:space="preserve">Repères génériques. À adapter selon taille/maturité; remplacez par médianes/quartiles sectoriels si disponibles.</x:t>
        </x:is>
      </x:c>
    </x:row>
    <x:row r="19">
      <x:c r="A19" s="17" t="inlineStr">
        <x:is>
          <x:t xml:space="preserve">France|Industrie|CASHR</x:t>
        </x:is>
      </x:c>
      <x:c r="B19" s="17" t="inlineStr">
        <x:is>
          <x:t xml:space="preserve">France</x:t>
        </x:is>
      </x:c>
      <x:c r="C19" s="17" t="inlineStr">
        <x:is>
          <x:t xml:space="preserve">Industrie</x:t>
        </x:is>
      </x:c>
      <x:c r="D19" s="17" t="inlineStr">
        <x:is>
          <x:t xml:space="preserve">CASHR</x:t>
        </x:is>
      </x:c>
      <x:c r="E19" s="17" t="inlineStr">
        <x:is>
          <x:t xml:space="preserve">Cash ratio</x:t>
        </x:is>
      </x:c>
      <x:c r="F19" s="20" t="n">
        <x:v>0.2</x:v>
      </x:c>
      <x:c r="G19" s="20" t="n">
        <x:v>0.8</x:v>
      </x:c>
      <x:c r="H19" s="17" t="inlineStr">
        <x:is>
          <x:t xml:space="preserve">x</x:t>
        </x:is>
      </x:c>
      <x:c r="I19" s="17" t="inlineStr">
        <x:is>
          <x:t xml:space="preserve">RANGE</x:t>
        </x:is>
      </x:c>
      <x:c r="J19" s="15" t="inlineStr">
        <x:is>
          <x:t xml:space="preserve">https://www.banque-france.fr/fr/publications-et-statistiques/statistiques/fascicules-dindicateurs-sectoriels</x:t>
        </x:is>
      </x:c>
      <x:c r="K19" s="15" t="inlineStr">
        <x:is>
          <x:t xml:space="preserve">Repères génériques. À adapter selon taille/maturité; remplacez par médianes/quartiles sectoriels si disponibles.</x:t>
        </x:is>
      </x:c>
    </x:row>
    <x:row r="20">
      <x:c r="A20" s="17" t="inlineStr">
        <x:is>
          <x:t xml:space="preserve">France|Industrie|ND_EBITDA</x:t>
        </x:is>
      </x:c>
      <x:c r="B20" s="17" t="inlineStr">
        <x:is>
          <x:t xml:space="preserve">France</x:t>
        </x:is>
      </x:c>
      <x:c r="C20" s="17" t="inlineStr">
        <x:is>
          <x:t xml:space="preserve">Industrie</x:t>
        </x:is>
      </x:c>
      <x:c r="D20" s="17" t="inlineStr">
        <x:is>
          <x:t xml:space="preserve">ND_EBITDA</x:t>
        </x:is>
      </x:c>
      <x:c r="E20" s="17" t="inlineStr">
        <x:is>
          <x:t xml:space="preserve">Dette nette / EBITDA</x:t>
        </x:is>
      </x:c>
      <x:c r="F20" s="20" t="n">
        <x:v>0</x:v>
      </x:c>
      <x:c r="G20" s="20" t="n">
        <x:v>3</x:v>
      </x:c>
      <x:c r="H20" s="17" t="inlineStr">
        <x:is>
          <x:t xml:space="preserve">x</x:t>
        </x:is>
      </x:c>
      <x:c r="I20" s="17" t="inlineStr">
        <x:is>
          <x:t xml:space="preserve">LOW_GOOD</x:t>
        </x:is>
      </x:c>
      <x:c r="J20" s="15" t="inlineStr">
        <x:is>
          <x:t xml:space="preserve">https://www.banque-france.fr/fr/publications-et-statistiques/statistiques/fascicules-dindicateurs-sectoriels</x:t>
        </x:is>
      </x:c>
      <x:c r="K20" s="15" t="inlineStr">
        <x:is>
          <x:t xml:space="preserve">Repères génériques. À adapter selon taille/maturité; remplacez par médianes/quartiles sectoriels si disponibles.</x:t>
        </x:is>
      </x:c>
    </x:row>
    <x:row r="21">
      <x:c r="A21" s="17" t="inlineStr">
        <x:is>
          <x:t xml:space="preserve">France|Industrie|D_E</x:t>
        </x:is>
      </x:c>
      <x:c r="B21" s="17" t="inlineStr">
        <x:is>
          <x:t xml:space="preserve">France</x:t>
        </x:is>
      </x:c>
      <x:c r="C21" s="17" t="inlineStr">
        <x:is>
          <x:t xml:space="preserve">Industrie</x:t>
        </x:is>
      </x:c>
      <x:c r="D21" s="17" t="inlineStr">
        <x:is>
          <x:t xml:space="preserve">D_E</x:t>
        </x:is>
      </x:c>
      <x:c r="E21" s="17" t="inlineStr">
        <x:is>
          <x:t xml:space="preserve">Dette / CP</x:t>
        </x:is>
      </x:c>
      <x:c r="F21" s="20" t="n">
        <x:v>0</x:v>
      </x:c>
      <x:c r="G21" s="20" t="n">
        <x:v>1.5</x:v>
      </x:c>
      <x:c r="H21" s="17" t="inlineStr">
        <x:is>
          <x:t xml:space="preserve">x</x:t>
        </x:is>
      </x:c>
      <x:c r="I21" s="17" t="inlineStr">
        <x:is>
          <x:t xml:space="preserve">LOW_GOOD</x:t>
        </x:is>
      </x:c>
      <x:c r="J21" s="15" t="inlineStr">
        <x:is>
          <x:t xml:space="preserve">https://www.banque-france.fr/fr/publications-et-statistiques/statistiques/fascicules-dindicateurs-sectoriels</x:t>
        </x:is>
      </x:c>
      <x:c r="K21" s="15" t="inlineStr">
        <x:is>
          <x:t xml:space="preserve">Repères génériques. À adapter selon taille/maturité; remplacez par médianes/quartiles sectoriels si disponibles.</x:t>
        </x:is>
      </x:c>
    </x:row>
    <x:row r="22">
      <x:c r="A22" s="17" t="inlineStr">
        <x:is>
          <x:t xml:space="preserve">France|Industrie|ICR</x:t>
        </x:is>
      </x:c>
      <x:c r="B22" s="17" t="inlineStr">
        <x:is>
          <x:t xml:space="preserve">France</x:t>
        </x:is>
      </x:c>
      <x:c r="C22" s="17" t="inlineStr">
        <x:is>
          <x:t xml:space="preserve">Industrie</x:t>
        </x:is>
      </x:c>
      <x:c r="D22" s="17" t="inlineStr">
        <x:is>
          <x:t xml:space="preserve">ICR</x:t>
        </x:is>
      </x:c>
      <x:c r="E22" s="17" t="inlineStr">
        <x:is>
          <x:t xml:space="preserve">Couverture intérêts (EBIT/Intérêts)</x:t>
        </x:is>
      </x:c>
      <x:c r="F22" s="20" t="n">
        <x:v>3</x:v>
      </x:c>
      <x:c r="G22" s="20" t="n">
        <x:v>12</x:v>
      </x:c>
      <x:c r="H22" s="17" t="inlineStr">
        <x:is>
          <x:t xml:space="preserve">x</x:t>
        </x:is>
      </x:c>
      <x:c r="I22" s="17" t="inlineStr">
        <x:is>
          <x:t xml:space="preserve">HIGH_GOOD</x:t>
        </x:is>
      </x:c>
      <x:c r="J22" s="15" t="inlineStr">
        <x:is>
          <x:t xml:space="preserve">https://www.banque-france.fr/fr/publications-et-statistiques/statistiques/fascicules-dindicateurs-sectoriels</x:t>
        </x:is>
      </x:c>
      <x:c r="K22" s="15" t="inlineStr">
        <x:is>
          <x:t xml:space="preserve">Repères génériques. À adapter selon taille/maturité; remplacez par médianes/quartiles sectoriels si disponibles.</x:t>
        </x:is>
      </x:c>
    </x:row>
    <x:row r="23">
      <x:c r="A23" s="17" t="inlineStr">
        <x:is>
          <x:t xml:space="preserve">France|Industrie|DSCR</x:t>
        </x:is>
      </x:c>
      <x:c r="B23" s="17" t="inlineStr">
        <x:is>
          <x:t xml:space="preserve">France</x:t>
        </x:is>
      </x:c>
      <x:c r="C23" s="17" t="inlineStr">
        <x:is>
          <x:t xml:space="preserve">Industrie</x:t>
        </x:is>
      </x:c>
      <x:c r="D23" s="17" t="inlineStr">
        <x:is>
          <x:t xml:space="preserve">DSCR</x:t>
        </x:is>
      </x:c>
      <x:c r="E23" s="17" t="inlineStr">
        <x:is>
          <x:t xml:space="preserve">DSCR</x:t>
        </x:is>
      </x:c>
      <x:c r="F23" s="20" t="n">
        <x:v>1.2</x:v>
      </x:c>
      <x:c r="G23" s="20" t="n">
        <x:v>3</x:v>
      </x:c>
      <x:c r="H23" s="17" t="inlineStr">
        <x:is>
          <x:t xml:space="preserve">x</x:t>
        </x:is>
      </x:c>
      <x:c r="I23" s="17" t="inlineStr">
        <x:is>
          <x:t xml:space="preserve">HIGH_GOOD</x:t>
        </x:is>
      </x:c>
      <x:c r="J23" s="15" t="inlineStr">
        <x:is>
          <x:t xml:space="preserve">https://www.banque-france.fr/fr/publications-et-statistiques/statistiques/fascicules-dindicateurs-sectoriels</x:t>
        </x:is>
      </x:c>
      <x:c r="K23" s="15" t="inlineStr">
        <x:is>
          <x:t xml:space="preserve">Repères génériques. À adapter selon taille/maturité; remplacez par médianes/quartiles sectoriels si disponibles.</x:t>
        </x:is>
      </x:c>
    </x:row>
    <x:row r="24">
      <x:c r="A24" s="17" t="inlineStr">
        <x:is>
          <x:t xml:space="preserve">France|Industrie|CFO_NI</x:t>
        </x:is>
      </x:c>
      <x:c r="B24" s="17" t="inlineStr">
        <x:is>
          <x:t xml:space="preserve">France</x:t>
        </x:is>
      </x:c>
      <x:c r="C24" s="17" t="inlineStr">
        <x:is>
          <x:t xml:space="preserve">Industrie</x:t>
        </x:is>
      </x:c>
      <x:c r="D24" s="17" t="inlineStr">
        <x:is>
          <x:t xml:space="preserve">CFO_NI</x:t>
        </x:is>
      </x:c>
      <x:c r="E24" s="17" t="inlineStr">
        <x:is>
          <x:t xml:space="preserve">CFO / RN</x:t>
        </x:is>
      </x:c>
      <x:c r="F24" s="20" t="n">
        <x:v>0.9</x:v>
      </x:c>
      <x:c r="G24" s="20" t="n">
        <x:v>1.5</x:v>
      </x:c>
      <x:c r="H24" s="17" t="inlineStr">
        <x:is>
          <x:t xml:space="preserve">x</x:t>
        </x:is>
      </x:c>
      <x:c r="I24" s="17" t="inlineStr">
        <x:is>
          <x:t xml:space="preserve">HIGH_GOOD</x:t>
        </x:is>
      </x:c>
      <x:c r="J24" s="15" t="inlineStr">
        <x:is>
          <x:t xml:space="preserve">https://www.banque-france.fr/fr/publications-et-statistiques/statistiques/fascicules-dindicateurs-sectoriels</x:t>
        </x:is>
      </x:c>
      <x:c r="K24" s="15" t="inlineStr">
        <x:is>
          <x:t xml:space="preserve">Repères génériques. À adapter selon taille/maturité; remplacez par médianes/quartiles sectoriels si disponibles.</x:t>
        </x:is>
      </x:c>
    </x:row>
    <x:row r="25">
      <x:c r="A25" s="17" t="inlineStr">
        <x:is>
          <x:t xml:space="preserve">France|Industrie|ROA</x:t>
        </x:is>
      </x:c>
      <x:c r="B25" s="17" t="inlineStr">
        <x:is>
          <x:t xml:space="preserve">France</x:t>
        </x:is>
      </x:c>
      <x:c r="C25" s="17" t="inlineStr">
        <x:is>
          <x:t xml:space="preserve">Industrie</x:t>
        </x:is>
      </x:c>
      <x:c r="D25" s="17" t="inlineStr">
        <x:is>
          <x:t xml:space="preserve">ROA</x:t>
        </x:is>
      </x:c>
      <x:c r="E25" s="17" t="inlineStr">
        <x:is>
          <x:t xml:space="preserve">ROA</x:t>
        </x:is>
      </x:c>
      <x:c r="F25" s="18" t="n">
        <x:v>0.03</x:v>
      </x:c>
      <x:c r="G25" s="18" t="n">
        <x:v>0.1</x:v>
      </x:c>
      <x:c r="H25" s="17" t="inlineStr">
        <x:is>
          <x:t xml:space="preserve">%</x:t>
        </x:is>
      </x:c>
      <x:c r="I25" s="17" t="inlineStr">
        <x:is>
          <x:t xml:space="preserve">HIGH_GOOD</x:t>
        </x:is>
      </x:c>
      <x:c r="J25" s="15" t="inlineStr">
        <x:is>
          <x:t xml:space="preserve">https://www.banque-france.fr/fr/publications-et-statistiques/statistiques/fascicules-dindicateurs-sectoriels</x:t>
        </x:is>
      </x:c>
      <x:c r="K25" s="15" t="inlineStr">
        <x:is>
          <x:t xml:space="preserve">Repères génériques. À adapter selon taille/maturité; remplacez par médianes/quartiles sectoriels si disponibles.</x:t>
        </x:is>
      </x:c>
    </x:row>
    <x:row r="26">
      <x:c r="A26" s="17" t="inlineStr">
        <x:is>
          <x:t xml:space="preserve">France|Industrie|ROE</x:t>
        </x:is>
      </x:c>
      <x:c r="B26" s="17" t="inlineStr">
        <x:is>
          <x:t xml:space="preserve">France</x:t>
        </x:is>
      </x:c>
      <x:c r="C26" s="17" t="inlineStr">
        <x:is>
          <x:t xml:space="preserve">Industrie</x:t>
        </x:is>
      </x:c>
      <x:c r="D26" s="17" t="inlineStr">
        <x:is>
          <x:t xml:space="preserve">ROE</x:t>
        </x:is>
      </x:c>
      <x:c r="E26" s="17" t="inlineStr">
        <x:is>
          <x:t xml:space="preserve">ROE</x:t>
        </x:is>
      </x:c>
      <x:c r="F26" s="18" t="n">
        <x:v>0.08</x:v>
      </x:c>
      <x:c r="G26" s="18" t="n">
        <x:v>0.18</x:v>
      </x:c>
      <x:c r="H26" s="17" t="inlineStr">
        <x:is>
          <x:t xml:space="preserve">%</x:t>
        </x:is>
      </x:c>
      <x:c r="I26" s="17" t="inlineStr">
        <x:is>
          <x:t xml:space="preserve">HIGH_GOOD</x:t>
        </x:is>
      </x:c>
      <x:c r="J26" s="15" t="inlineStr">
        <x:is>
          <x:t xml:space="preserve">https://www.banque-france.fr/fr/publications-et-statistiques/statistiques/fascicules-dindicateurs-sectoriels</x:t>
        </x:is>
      </x:c>
      <x:c r="K26" s="15" t="inlineStr">
        <x:is>
          <x:t xml:space="preserve">Repères génériques. À adapter selon taille/maturité; remplacez par médianes/quartiles sectoriels si disponibles.</x:t>
        </x:is>
      </x:c>
    </x:row>
    <x:row r="27">
      <x:c r="A27" s="17" t="inlineStr">
        <x:is>
          <x:t xml:space="preserve">France|Industrie|ROCE</x:t>
        </x:is>
      </x:c>
      <x:c r="B27" s="17" t="inlineStr">
        <x:is>
          <x:t xml:space="preserve">France</x:t>
        </x:is>
      </x:c>
      <x:c r="C27" s="17" t="inlineStr">
        <x:is>
          <x:t xml:space="preserve">Industrie</x:t>
        </x:is>
      </x:c>
      <x:c r="D27" s="17" t="inlineStr">
        <x:is>
          <x:t xml:space="preserve">ROCE</x:t>
        </x:is>
      </x:c>
      <x:c r="E27" s="17" t="inlineStr">
        <x:is>
          <x:t xml:space="preserve">ROCE</x:t>
        </x:is>
      </x:c>
      <x:c r="F27" s="18" t="n">
        <x:v>0.08</x:v>
      </x:c>
      <x:c r="G27" s="18" t="n">
        <x:v>0.2</x:v>
      </x:c>
      <x:c r="H27" s="17" t="inlineStr">
        <x:is>
          <x:t xml:space="preserve">%</x:t>
        </x:is>
      </x:c>
      <x:c r="I27" s="17" t="inlineStr">
        <x:is>
          <x:t xml:space="preserve">HIGH_GOOD</x:t>
        </x:is>
      </x:c>
      <x:c r="J27" s="15" t="inlineStr">
        <x:is>
          <x:t xml:space="preserve">https://www.banque-france.fr/fr/publications-et-statistiques/statistiques/fascicules-dindicateurs-sectoriels</x:t>
        </x:is>
      </x:c>
      <x:c r="K27" s="15" t="inlineStr">
        <x:is>
          <x:t xml:space="preserve">Repères génériques. À adapter selon taille/maturité; remplacez par médianes/quartiles sectoriels si disponibles.</x:t>
        </x:is>
      </x:c>
    </x:row>
    <x:row r="28">
      <x:c r="A28" s="17" t="inlineStr">
        <x:is>
          <x:t xml:space="preserve">France|Retail|M_GROSS</x:t>
        </x:is>
      </x:c>
      <x:c r="B28" s="17" t="inlineStr">
        <x:is>
          <x:t xml:space="preserve">France</x:t>
        </x:is>
      </x:c>
      <x:c r="C28" s="17" t="inlineStr">
        <x:is>
          <x:t xml:space="preserve">Retail</x:t>
        </x:is>
      </x:c>
      <x:c r="D28" s="17" t="inlineStr">
        <x:is>
          <x:t xml:space="preserve">M_GROSS</x:t>
        </x:is>
      </x:c>
      <x:c r="E28" s="17" t="inlineStr">
        <x:is>
          <x:t xml:space="preserve">Marge brute</x:t>
        </x:is>
      </x:c>
      <x:c r="F28" s="18" t="n">
        <x:v>0.2</x:v>
      </x:c>
      <x:c r="G28" s="18" t="n">
        <x:v>0.55</x:v>
      </x:c>
      <x:c r="H28" s="17" t="inlineStr">
        <x:is>
          <x:t xml:space="preserve">%</x:t>
        </x:is>
      </x:c>
      <x:c r="I28" s="17" t="inlineStr">
        <x:is>
          <x:t xml:space="preserve">HIGH_GOOD</x:t>
        </x:is>
      </x:c>
      <x:c r="J28" s="15" t="inlineStr">
        <x:is>
          <x:t xml:space="preserve">https://www.banque-france.fr/fr/publications-et-statistiques/statistiques/fascicules-dindicateurs-sectoriels</x:t>
        </x:is>
      </x:c>
      <x:c r="K28" s="15" t="inlineStr">
        <x:is>
          <x:t xml:space="preserve">Repères génériques. À adapter selon taille/maturité; remplacez par médianes/quartiles sectoriels si disponibles.</x:t>
        </x:is>
      </x:c>
    </x:row>
    <x:row r="29">
      <x:c r="A29" s="17" t="inlineStr">
        <x:is>
          <x:t xml:space="preserve">France|Retail|M_EBITDA</x:t>
        </x:is>
      </x:c>
      <x:c r="B29" s="17" t="inlineStr">
        <x:is>
          <x:t xml:space="preserve">France</x:t>
        </x:is>
      </x:c>
      <x:c r="C29" s="17" t="inlineStr">
        <x:is>
          <x:t xml:space="preserve">Retail</x:t>
        </x:is>
      </x:c>
      <x:c r="D29" s="17" t="inlineStr">
        <x:is>
          <x:t xml:space="preserve">M_EBITDA</x:t>
        </x:is>
      </x:c>
      <x:c r="E29" s="17" t="inlineStr">
        <x:is>
          <x:t xml:space="preserve">Marge EBITDA</x:t>
        </x:is>
      </x:c>
      <x:c r="F29" s="18" t="n">
        <x:v>0.03</x:v>
      </x:c>
      <x:c r="G29" s="18" t="n">
        <x:v>0.1</x:v>
      </x:c>
      <x:c r="H29" s="17" t="inlineStr">
        <x:is>
          <x:t xml:space="preserve">%</x:t>
        </x:is>
      </x:c>
      <x:c r="I29" s="17" t="inlineStr">
        <x:is>
          <x:t xml:space="preserve">HIGH_GOOD</x:t>
        </x:is>
      </x:c>
      <x:c r="J29" s="15" t="inlineStr">
        <x:is>
          <x:t xml:space="preserve">https://www.banque-france.fr/fr/publications-et-statistiques/statistiques/fascicules-dindicateurs-sectoriels</x:t>
        </x:is>
      </x:c>
      <x:c r="K29" s="15" t="inlineStr">
        <x:is>
          <x:t xml:space="preserve">Repères génériques. À adapter selon taille/maturité; remplacez par médianes/quartiles sectoriels si disponibles.</x:t>
        </x:is>
      </x:c>
    </x:row>
    <x:row r="30">
      <x:c r="A30" s="17" t="inlineStr">
        <x:is>
          <x:t xml:space="preserve">France|Retail|M_EBIT</x:t>
        </x:is>
      </x:c>
      <x:c r="B30" s="17" t="inlineStr">
        <x:is>
          <x:t xml:space="preserve">France</x:t>
        </x:is>
      </x:c>
      <x:c r="C30" s="17" t="inlineStr">
        <x:is>
          <x:t xml:space="preserve">Retail</x:t>
        </x:is>
      </x:c>
      <x:c r="D30" s="17" t="inlineStr">
        <x:is>
          <x:t xml:space="preserve">M_EBIT</x:t>
        </x:is>
      </x:c>
      <x:c r="E30" s="17" t="inlineStr">
        <x:is>
          <x:t xml:space="preserve">Marge EBIT</x:t>
        </x:is>
      </x:c>
      <x:c r="F30" s="18" t="n">
        <x:v>0.02</x:v>
      </x:c>
      <x:c r="G30" s="18" t="n">
        <x:v>0.08</x:v>
      </x:c>
      <x:c r="H30" s="17" t="inlineStr">
        <x:is>
          <x:t xml:space="preserve">%</x:t>
        </x:is>
      </x:c>
      <x:c r="I30" s="17" t="inlineStr">
        <x:is>
          <x:t xml:space="preserve">HIGH_GOOD</x:t>
        </x:is>
      </x:c>
      <x:c r="J30" s="15" t="inlineStr">
        <x:is>
          <x:t xml:space="preserve">https://www.banque-france.fr/fr/publications-et-statistiques/statistiques/fascicules-dindicateurs-sectoriels</x:t>
        </x:is>
      </x:c>
      <x:c r="K30" s="15" t="inlineStr">
        <x:is>
          <x:t xml:space="preserve">Repères génériques. À adapter selon taille/maturité; remplacez par médianes/quartiles sectoriels si disponibles.</x:t>
        </x:is>
      </x:c>
    </x:row>
    <x:row r="31">
      <x:c r="A31" s="17" t="inlineStr">
        <x:is>
          <x:t xml:space="preserve">France|Retail|M_NET</x:t>
        </x:is>
      </x:c>
      <x:c r="B31" s="17" t="inlineStr">
        <x:is>
          <x:t xml:space="preserve">France</x:t>
        </x:is>
      </x:c>
      <x:c r="C31" s="17" t="inlineStr">
        <x:is>
          <x:t xml:space="preserve">Retail</x:t>
        </x:is>
      </x:c>
      <x:c r="D31" s="17" t="inlineStr">
        <x:is>
          <x:t xml:space="preserve">M_NET</x:t>
        </x:is>
      </x:c>
      <x:c r="E31" s="17" t="inlineStr">
        <x:is>
          <x:t xml:space="preserve">Marge nette</x:t>
        </x:is>
      </x:c>
      <x:c r="F31" s="18" t="n">
        <x:v>0.01</x:v>
      </x:c>
      <x:c r="G31" s="18" t="n">
        <x:v>0.05</x:v>
      </x:c>
      <x:c r="H31" s="17" t="inlineStr">
        <x:is>
          <x:t xml:space="preserve">%</x:t>
        </x:is>
      </x:c>
      <x:c r="I31" s="17" t="inlineStr">
        <x:is>
          <x:t xml:space="preserve">HIGH_GOOD</x:t>
        </x:is>
      </x:c>
      <x:c r="J31" s="15" t="inlineStr">
        <x:is>
          <x:t xml:space="preserve">https://www.banque-france.fr/fr/publications-et-statistiques/statistiques/fascicules-dindicateurs-sectoriels</x:t>
        </x:is>
      </x:c>
      <x:c r="K31" s="15" t="inlineStr">
        <x:is>
          <x:t xml:space="preserve">Repères génériques. À adapter selon taille/maturité; remplacez par médianes/quartiles sectoriels si disponibles.</x:t>
        </x:is>
      </x:c>
    </x:row>
    <x:row r="32">
      <x:c r="A32" s="17" t="inlineStr">
        <x:is>
          <x:t xml:space="preserve">France|Retail|G_REV</x:t>
        </x:is>
      </x:c>
      <x:c r="B32" s="17" t="inlineStr">
        <x:is>
          <x:t xml:space="preserve">France</x:t>
        </x:is>
      </x:c>
      <x:c r="C32" s="17" t="inlineStr">
        <x:is>
          <x:t xml:space="preserve">Retail</x:t>
        </x:is>
      </x:c>
      <x:c r="D32" s="17" t="inlineStr">
        <x:is>
          <x:t xml:space="preserve">G_REV</x:t>
        </x:is>
      </x:c>
      <x:c r="E32" s="17" t="inlineStr">
        <x:is>
          <x:t xml:space="preserve">Croissance CA</x:t>
        </x:is>
      </x:c>
      <x:c r="F32" s="18" t="n">
        <x:v>-0.03</x:v>
      </x:c>
      <x:c r="G32" s="18" t="n">
        <x:v>0.12</x:v>
      </x:c>
      <x:c r="H32" s="17" t="inlineStr">
        <x:is>
          <x:t xml:space="preserve">%</x:t>
        </x:is>
      </x:c>
      <x:c r="I32" s="17" t="inlineStr">
        <x:is>
          <x:t xml:space="preserve">HIGH_GOOD</x:t>
        </x:is>
      </x:c>
      <x:c r="J32" s="15" t="inlineStr">
        <x:is>
          <x:t xml:space="preserve">https://www.banque-france.fr/fr/publications-et-statistiques/statistiques/fascicules-dindicateurs-sectoriels</x:t>
        </x:is>
      </x:c>
      <x:c r="K32" s="15" t="inlineStr">
        <x:is>
          <x:t xml:space="preserve">Repères génériques. À adapter selon taille/maturité; remplacez par médianes/quartiles sectoriels si disponibles.</x:t>
        </x:is>
      </x:c>
    </x:row>
    <x:row r="33">
      <x:c r="A33" s="17" t="inlineStr">
        <x:is>
          <x:t xml:space="preserve">France|Retail|G_NI</x:t>
        </x:is>
      </x:c>
      <x:c r="B33" s="17" t="inlineStr">
        <x:is>
          <x:t xml:space="preserve">France</x:t>
        </x:is>
      </x:c>
      <x:c r="C33" s="17" t="inlineStr">
        <x:is>
          <x:t xml:space="preserve">Retail</x:t>
        </x:is>
      </x:c>
      <x:c r="D33" s="17" t="inlineStr">
        <x:is>
          <x:t xml:space="preserve">G_NI</x:t>
        </x:is>
      </x:c>
      <x:c r="E33" s="17" t="inlineStr">
        <x:is>
          <x:t xml:space="preserve">Croissance RN</x:t>
        </x:is>
      </x:c>
      <x:c r="F33" s="18" t="n">
        <x:v>-0.1</x:v>
      </x:c>
      <x:c r="G33" s="18" t="n">
        <x:v>0.15</x:v>
      </x:c>
      <x:c r="H33" s="17" t="inlineStr">
        <x:is>
          <x:t xml:space="preserve">%</x:t>
        </x:is>
      </x:c>
      <x:c r="I33" s="17" t="inlineStr">
        <x:is>
          <x:t xml:space="preserve">HIGH_GOOD</x:t>
        </x:is>
      </x:c>
      <x:c r="J33" s="15" t="inlineStr">
        <x:is>
          <x:t xml:space="preserve">https://www.banque-france.fr/fr/publications-et-statistiques/statistiques/fascicules-dindicateurs-sectoriels</x:t>
        </x:is>
      </x:c>
      <x:c r="K33" s="15" t="inlineStr">
        <x:is>
          <x:t xml:space="preserve">Repères génériques. À adapter selon taille/maturité; remplacez par médianes/quartiles sectoriels si disponibles.</x:t>
        </x:is>
      </x:c>
    </x:row>
    <x:row r="34">
      <x:c r="A34" s="17" t="inlineStr">
        <x:is>
          <x:t xml:space="preserve">France|Retail|D_INV</x:t>
        </x:is>
      </x:c>
      <x:c r="B34" s="17" t="inlineStr">
        <x:is>
          <x:t xml:space="preserve">France</x:t>
        </x:is>
      </x:c>
      <x:c r="C34" s="17" t="inlineStr">
        <x:is>
          <x:t xml:space="preserve">Retail</x:t>
        </x:is>
      </x:c>
      <x:c r="D34" s="17" t="inlineStr">
        <x:is>
          <x:t xml:space="preserve">D_INV</x:t>
        </x:is>
      </x:c>
      <x:c r="E34" s="17" t="inlineStr">
        <x:is>
          <x:t xml:space="preserve">Jours de stocks</x:t>
        </x:is>
      </x:c>
      <x:c r="F34" s="26" t="n">
        <x:v>20</x:v>
      </x:c>
      <x:c r="G34" s="26" t="n">
        <x:v>70</x:v>
      </x:c>
      <x:c r="H34" s="17" t="inlineStr">
        <x:is>
          <x:t xml:space="preserve">jours</x:t>
        </x:is>
      </x:c>
      <x:c r="I34" s="17" t="inlineStr">
        <x:is>
          <x:t xml:space="preserve">LOW_GOOD</x:t>
        </x:is>
      </x:c>
      <x:c r="J34" s="15" t="inlineStr">
        <x:is>
          <x:t xml:space="preserve">https://www.banque-france.fr/fr/publications-et-statistiques/statistiques/fascicules-dindicateurs-sectoriels</x:t>
        </x:is>
      </x:c>
      <x:c r="K34" s="15" t="inlineStr">
        <x:is>
          <x:t xml:space="preserve">Repères génériques. À adapter selon taille/maturité; remplacez par médianes/quartiles sectoriels si disponibles.</x:t>
        </x:is>
      </x:c>
    </x:row>
    <x:row r="35">
      <x:c r="A35" s="17" t="inlineStr">
        <x:is>
          <x:t xml:space="preserve">France|Retail|DSO</x:t>
        </x:is>
      </x:c>
      <x:c r="B35" s="17" t="inlineStr">
        <x:is>
          <x:t xml:space="preserve">France</x:t>
        </x:is>
      </x:c>
      <x:c r="C35" s="17" t="inlineStr">
        <x:is>
          <x:t xml:space="preserve">Retail</x:t>
        </x:is>
      </x:c>
      <x:c r="D35" s="17" t="inlineStr">
        <x:is>
          <x:t xml:space="preserve">DSO</x:t>
        </x:is>
      </x:c>
      <x:c r="E35" s="17" t="inlineStr">
        <x:is>
          <x:t xml:space="preserve">DSO (jours clients)</x:t>
        </x:is>
      </x:c>
      <x:c r="F35" s="26" t="n">
        <x:v>5</x:v>
      </x:c>
      <x:c r="G35" s="26" t="n">
        <x:v>30</x:v>
      </x:c>
      <x:c r="H35" s="17" t="inlineStr">
        <x:is>
          <x:t xml:space="preserve">jours</x:t>
        </x:is>
      </x:c>
      <x:c r="I35" s="17" t="inlineStr">
        <x:is>
          <x:t xml:space="preserve">LOW_GOOD</x:t>
        </x:is>
      </x:c>
      <x:c r="J35" s="15" t="inlineStr">
        <x:is>
          <x:t xml:space="preserve">https://www.banque-france.fr/fr/publications-et-statistiques/statistiques/fascicules-dindicateurs-sectoriels</x:t>
        </x:is>
      </x:c>
      <x:c r="K35" s="15" t="inlineStr">
        <x:is>
          <x:t xml:space="preserve">Repère. Délais B2B encadrés (max ~60 jours sauf accords).</x:t>
        </x:is>
      </x:c>
    </x:row>
    <x:row r="36">
      <x:c r="A36" s="17" t="inlineStr">
        <x:is>
          <x:t xml:space="preserve">France|Retail|DPO</x:t>
        </x:is>
      </x:c>
      <x:c r="B36" s="17" t="inlineStr">
        <x:is>
          <x:t xml:space="preserve">France</x:t>
        </x:is>
      </x:c>
      <x:c r="C36" s="17" t="inlineStr">
        <x:is>
          <x:t xml:space="preserve">Retail</x:t>
        </x:is>
      </x:c>
      <x:c r="D36" s="17" t="inlineStr">
        <x:is>
          <x:t xml:space="preserve">DPO</x:t>
        </x:is>
      </x:c>
      <x:c r="E36" s="17" t="inlineStr">
        <x:is>
          <x:t xml:space="preserve">DPO (jours fournisseurs)</x:t>
        </x:is>
      </x:c>
      <x:c r="F36" s="26" t="n">
        <x:v>45</x:v>
      </x:c>
      <x:c r="G36" s="26" t="n">
        <x:v>120</x:v>
      </x:c>
      <x:c r="H36" s="17" t="inlineStr">
        <x:is>
          <x:t xml:space="preserve">jours</x:t>
        </x:is>
      </x:c>
      <x:c r="I36" s="17" t="inlineStr">
        <x:is>
          <x:t xml:space="preserve">RANGE</x:t>
        </x:is>
      </x:c>
      <x:c r="J36" s="15" t="inlineStr">
        <x:is>
          <x:t xml:space="preserve">https://www.banque-france.fr/fr/publications-et-statistiques/statistiques/fascicules-dindicateurs-sectoriels</x:t>
        </x:is>
      </x:c>
      <x:c r="K36" s="15" t="inlineStr">
        <x:is>
          <x:t xml:space="preserve">Repère. Délais B2B encadrés (max ~60 jours sauf accords).</x:t>
        </x:is>
      </x:c>
    </x:row>
    <x:row r="37">
      <x:c r="A37" s="17" t="inlineStr">
        <x:is>
          <x:t xml:space="preserve">France|Retail|CCC</x:t>
        </x:is>
      </x:c>
      <x:c r="B37" s="17" t="inlineStr">
        <x:is>
          <x:t xml:space="preserve">France</x:t>
        </x:is>
      </x:c>
      <x:c r="C37" s="17" t="inlineStr">
        <x:is>
          <x:t xml:space="preserve">Retail</x:t>
        </x:is>
      </x:c>
      <x:c r="D37" s="17" t="inlineStr">
        <x:is>
          <x:t xml:space="preserve">CCC</x:t>
        </x:is>
      </x:c>
      <x:c r="E37" s="17" t="inlineStr">
        <x:is>
          <x:t xml:space="preserve">Cycle de conversion cash (jours)</x:t>
        </x:is>
      </x:c>
      <x:c r="F37" s="26" t="n">
        <x:v>-30</x:v>
      </x:c>
      <x:c r="G37" s="26" t="n">
        <x:v>30</x:v>
      </x:c>
      <x:c r="H37" s="17" t="inlineStr">
        <x:is>
          <x:t xml:space="preserve">jours</x:t>
        </x:is>
      </x:c>
      <x:c r="I37" s="17" t="inlineStr">
        <x:is>
          <x:t xml:space="preserve">LOW_GOOD</x:t>
        </x:is>
      </x:c>
      <x:c r="J37" s="15" t="inlineStr">
        <x:is>
          <x:t xml:space="preserve">https://www.banque-france.fr/fr/publications-et-statistiques/statistiques/fascicules-dindicateurs-sectoriels</x:t>
        </x:is>
      </x:c>
      <x:c r="K37" s="15" t="inlineStr">
        <x:is>
          <x:t xml:space="preserve">Repères génériques. À adapter selon taille/maturité; remplacez par médianes/quartiles sectoriels si disponibles.</x:t>
        </x:is>
      </x:c>
    </x:row>
    <x:row r="38">
      <x:c r="A38" s="17" t="inlineStr">
        <x:is>
          <x:t xml:space="preserve">France|Retail|BFR_REV</x:t>
        </x:is>
      </x:c>
      <x:c r="B38" s="17" t="inlineStr">
        <x:is>
          <x:t xml:space="preserve">France</x:t>
        </x:is>
      </x:c>
      <x:c r="C38" s="17" t="inlineStr">
        <x:is>
          <x:t xml:space="preserve">Retail</x:t>
        </x:is>
      </x:c>
      <x:c r="D38" s="17" t="inlineStr">
        <x:is>
          <x:t xml:space="preserve">BFR_REV</x:t>
        </x:is>
      </x:c>
      <x:c r="E38" s="17" t="inlineStr">
        <x:is>
          <x:t xml:space="preserve">BFR / CA</x:t>
        </x:is>
      </x:c>
      <x:c r="F38" s="18" t="n">
        <x:v>-0.15</x:v>
      </x:c>
      <x:c r="G38" s="18" t="n">
        <x:v>0.1</x:v>
      </x:c>
      <x:c r="H38" s="17" t="inlineStr">
        <x:is>
          <x:t xml:space="preserve">%</x:t>
        </x:is>
      </x:c>
      <x:c r="I38" s="17" t="inlineStr">
        <x:is>
          <x:t xml:space="preserve">RANGE</x:t>
        </x:is>
      </x:c>
      <x:c r="J38" s="15" t="inlineStr">
        <x:is>
          <x:t xml:space="preserve">https://www.banque-france.fr/fr/publications-et-statistiques/statistiques/fascicules-dindicateurs-sectoriels</x:t>
        </x:is>
      </x:c>
      <x:c r="K38" s="15" t="inlineStr">
        <x:is>
          <x:t xml:space="preserve">Repères génériques. À adapter selon taille/maturité; remplacez par médianes/quartiles sectoriels si disponibles.</x:t>
        </x:is>
      </x:c>
    </x:row>
    <x:row r="39">
      <x:c r="A39" s="17" t="inlineStr">
        <x:is>
          <x:t xml:space="preserve">France|Retail|EQ_RATIO</x:t>
        </x:is>
      </x:c>
      <x:c r="B39" s="17" t="inlineStr">
        <x:is>
          <x:t xml:space="preserve">France</x:t>
        </x:is>
      </x:c>
      <x:c r="C39" s="17" t="inlineStr">
        <x:is>
          <x:t xml:space="preserve">Retail</x:t>
        </x:is>
      </x:c>
      <x:c r="D39" s="17" t="inlineStr">
        <x:is>
          <x:t xml:space="preserve">EQ_RATIO</x:t>
        </x:is>
      </x:c>
      <x:c r="E39" s="17" t="inlineStr">
        <x:is>
          <x:t xml:space="preserve">Autonomie financière (CP/Total bilan)</x:t>
        </x:is>
      </x:c>
      <x:c r="F39" s="18" t="n">
        <x:v>0.25</x:v>
      </x:c>
      <x:c r="G39" s="18" t="n">
        <x:v>0.55</x:v>
      </x:c>
      <x:c r="H39" s="17" t="inlineStr">
        <x:is>
          <x:t xml:space="preserve">%</x:t>
        </x:is>
      </x:c>
      <x:c r="I39" s="17" t="inlineStr">
        <x:is>
          <x:t xml:space="preserve">HIGH_GOOD</x:t>
        </x:is>
      </x:c>
      <x:c r="J39" s="15" t="inlineStr">
        <x:is>
          <x:t xml:space="preserve">https://www.banque-france.fr/fr/publications-et-statistiques/statistiques/fascicules-dindicateurs-sectoriels</x:t>
        </x:is>
      </x:c>
      <x:c r="K39" s="15" t="inlineStr">
        <x:is>
          <x:t xml:space="preserve">Repères génériques. À adapter selon taille/maturité; remplacez par médianes/quartiles sectoriels si disponibles.</x:t>
        </x:is>
      </x:c>
    </x:row>
    <x:row r="40">
      <x:c r="A40" s="17" t="inlineStr">
        <x:is>
          <x:t xml:space="preserve">France|Retail|GEARING</x:t>
        </x:is>
      </x:c>
      <x:c r="B40" s="17" t="inlineStr">
        <x:is>
          <x:t xml:space="preserve">France</x:t>
        </x:is>
      </x:c>
      <x:c r="C40" s="17" t="inlineStr">
        <x:is>
          <x:t xml:space="preserve">Retail</x:t>
        </x:is>
      </x:c>
      <x:c r="D40" s="17" t="inlineStr">
        <x:is>
          <x:t xml:space="preserve">GEARING</x:t>
        </x:is>
      </x:c>
      <x:c r="E40" s="17" t="inlineStr">
        <x:is>
          <x:t xml:space="preserve">Gearing (Dette nette/CP)</x:t>
        </x:is>
      </x:c>
      <x:c r="F40" s="20" t="n">
        <x:v>0</x:v>
      </x:c>
      <x:c r="G40" s="20" t="n">
        <x:v>1.2</x:v>
      </x:c>
      <x:c r="H40" s="17" t="inlineStr">
        <x:is>
          <x:t xml:space="preserve">x</x:t>
        </x:is>
      </x:c>
      <x:c r="I40" s="17" t="inlineStr">
        <x:is>
          <x:t xml:space="preserve">LOW_GOOD</x:t>
        </x:is>
      </x:c>
      <x:c r="J40" s="15" t="inlineStr">
        <x:is>
          <x:t xml:space="preserve">https://www.banque-france.fr/fr/publications-et-statistiques/statistiques/fascicules-dindicateurs-sectoriels</x:t>
        </x:is>
      </x:c>
      <x:c r="K40" s="15" t="inlineStr">
        <x:is>
          <x:t xml:space="preserve">Repères génériques. À adapter selon taille/maturité; remplacez par médianes/quartiles sectoriels si disponibles.</x:t>
        </x:is>
      </x:c>
    </x:row>
    <x:row r="41">
      <x:c r="A41" s="17" t="inlineStr">
        <x:is>
          <x:t xml:space="preserve">France|Retail|CURR</x:t>
        </x:is>
      </x:c>
      <x:c r="B41" s="17" t="inlineStr">
        <x:is>
          <x:t xml:space="preserve">France</x:t>
        </x:is>
      </x:c>
      <x:c r="C41" s="17" t="inlineStr">
        <x:is>
          <x:t xml:space="preserve">Retail</x:t>
        </x:is>
      </x:c>
      <x:c r="D41" s="17" t="inlineStr">
        <x:is>
          <x:t xml:space="preserve">CURR</x:t>
        </x:is>
      </x:c>
      <x:c r="E41" s="17" t="inlineStr">
        <x:is>
          <x:t xml:space="preserve">Current ratio</x:t>
        </x:is>
      </x:c>
      <x:c r="F41" s="20" t="n">
        <x:v>1.1</x:v>
      </x:c>
      <x:c r="G41" s="20" t="n">
        <x:v>2</x:v>
      </x:c>
      <x:c r="H41" s="17" t="inlineStr">
        <x:is>
          <x:t xml:space="preserve">x</x:t>
        </x:is>
      </x:c>
      <x:c r="I41" s="17" t="inlineStr">
        <x:is>
          <x:t xml:space="preserve">RANGE</x:t>
        </x:is>
      </x:c>
      <x:c r="J41" s="15" t="inlineStr">
        <x:is>
          <x:t xml:space="preserve">https://www.banque-france.fr/fr/publications-et-statistiques/statistiques/fascicules-dindicateurs-sectoriels</x:t>
        </x:is>
      </x:c>
      <x:c r="K41" s="15" t="inlineStr">
        <x:is>
          <x:t xml:space="preserve">Repères génériques. À adapter selon taille/maturité; remplacez par médianes/quartiles sectoriels si disponibles.</x:t>
        </x:is>
      </x:c>
    </x:row>
    <x:row r="42">
      <x:c r="A42" s="17" t="inlineStr">
        <x:is>
          <x:t xml:space="preserve">France|Retail|QUICK</x:t>
        </x:is>
      </x:c>
      <x:c r="B42" s="17" t="inlineStr">
        <x:is>
          <x:t xml:space="preserve">France</x:t>
        </x:is>
      </x:c>
      <x:c r="C42" s="17" t="inlineStr">
        <x:is>
          <x:t xml:space="preserve">Retail</x:t>
        </x:is>
      </x:c>
      <x:c r="D42" s="17" t="inlineStr">
        <x:is>
          <x:t xml:space="preserve">QUICK</x:t>
        </x:is>
      </x:c>
      <x:c r="E42" s="17" t="inlineStr">
        <x:is>
          <x:t xml:space="preserve">Quick ratio</x:t>
        </x:is>
      </x:c>
      <x:c r="F42" s="20" t="n">
        <x:v>0.7</x:v>
      </x:c>
      <x:c r="G42" s="20" t="n">
        <x:v>1.4</x:v>
      </x:c>
      <x:c r="H42" s="17" t="inlineStr">
        <x:is>
          <x:t xml:space="preserve">x</x:t>
        </x:is>
      </x:c>
      <x:c r="I42" s="17" t="inlineStr">
        <x:is>
          <x:t xml:space="preserve">RANGE</x:t>
        </x:is>
      </x:c>
      <x:c r="J42" s="15" t="inlineStr">
        <x:is>
          <x:t xml:space="preserve">https://www.banque-france.fr/fr/publications-et-statistiques/statistiques/fascicules-dindicateurs-sectoriels</x:t>
        </x:is>
      </x:c>
      <x:c r="K42" s="15" t="inlineStr">
        <x:is>
          <x:t xml:space="preserve">Repères génériques. À adapter selon taille/maturité; remplacez par médianes/quartiles sectoriels si disponibles.</x:t>
        </x:is>
      </x:c>
    </x:row>
    <x:row r="43">
      <x:c r="A43" s="17" t="inlineStr">
        <x:is>
          <x:t xml:space="preserve">France|Retail|CASHR</x:t>
        </x:is>
      </x:c>
      <x:c r="B43" s="17" t="inlineStr">
        <x:is>
          <x:t xml:space="preserve">France</x:t>
        </x:is>
      </x:c>
      <x:c r="C43" s="17" t="inlineStr">
        <x:is>
          <x:t xml:space="preserve">Retail</x:t>
        </x:is>
      </x:c>
      <x:c r="D43" s="17" t="inlineStr">
        <x:is>
          <x:t xml:space="preserve">CASHR</x:t>
        </x:is>
      </x:c>
      <x:c r="E43" s="17" t="inlineStr">
        <x:is>
          <x:t xml:space="preserve">Cash ratio</x:t>
        </x:is>
      </x:c>
      <x:c r="F43" s="20" t="n">
        <x:v>0.1</x:v>
      </x:c>
      <x:c r="G43" s="20" t="n">
        <x:v>0.6</x:v>
      </x:c>
      <x:c r="H43" s="17" t="inlineStr">
        <x:is>
          <x:t xml:space="preserve">x</x:t>
        </x:is>
      </x:c>
      <x:c r="I43" s="17" t="inlineStr">
        <x:is>
          <x:t xml:space="preserve">RANGE</x:t>
        </x:is>
      </x:c>
      <x:c r="J43" s="15" t="inlineStr">
        <x:is>
          <x:t xml:space="preserve">https://www.banque-france.fr/fr/publications-et-statistiques/statistiques/fascicules-dindicateurs-sectoriels</x:t>
        </x:is>
      </x:c>
      <x:c r="K43" s="15" t="inlineStr">
        <x:is>
          <x:t xml:space="preserve">Repères génériques. À adapter selon taille/maturité; remplacez par médianes/quartiles sectoriels si disponibles.</x:t>
        </x:is>
      </x:c>
    </x:row>
    <x:row r="44">
      <x:c r="A44" s="17" t="inlineStr">
        <x:is>
          <x:t xml:space="preserve">France|Retail|ND_EBITDA</x:t>
        </x:is>
      </x:c>
      <x:c r="B44" s="17" t="inlineStr">
        <x:is>
          <x:t xml:space="preserve">France</x:t>
        </x:is>
      </x:c>
      <x:c r="C44" s="17" t="inlineStr">
        <x:is>
          <x:t xml:space="preserve">Retail</x:t>
        </x:is>
      </x:c>
      <x:c r="D44" s="17" t="inlineStr">
        <x:is>
          <x:t xml:space="preserve">ND_EBITDA</x:t>
        </x:is>
      </x:c>
      <x:c r="E44" s="17" t="inlineStr">
        <x:is>
          <x:t xml:space="preserve">Dette nette / EBITDA</x:t>
        </x:is>
      </x:c>
      <x:c r="F44" s="20" t="n">
        <x:v>0</x:v>
      </x:c>
      <x:c r="G44" s="20" t="n">
        <x:v>3.5</x:v>
      </x:c>
      <x:c r="H44" s="17" t="inlineStr">
        <x:is>
          <x:t xml:space="preserve">x</x:t>
        </x:is>
      </x:c>
      <x:c r="I44" s="17" t="inlineStr">
        <x:is>
          <x:t xml:space="preserve">LOW_GOOD</x:t>
        </x:is>
      </x:c>
      <x:c r="J44" s="15" t="inlineStr">
        <x:is>
          <x:t xml:space="preserve">https://www.banque-france.fr/fr/publications-et-statistiques/statistiques/fascicules-dindicateurs-sectoriels</x:t>
        </x:is>
      </x:c>
      <x:c r="K44" s="15" t="inlineStr">
        <x:is>
          <x:t xml:space="preserve">Repères génériques. À adapter selon taille/maturité; remplacez par médianes/quartiles sectoriels si disponibles.</x:t>
        </x:is>
      </x:c>
    </x:row>
    <x:row r="45">
      <x:c r="A45" s="17" t="inlineStr">
        <x:is>
          <x:t xml:space="preserve">France|Retail|D_E</x:t>
        </x:is>
      </x:c>
      <x:c r="B45" s="17" t="inlineStr">
        <x:is>
          <x:t xml:space="preserve">France</x:t>
        </x:is>
      </x:c>
      <x:c r="C45" s="17" t="inlineStr">
        <x:is>
          <x:t xml:space="preserve">Retail</x:t>
        </x:is>
      </x:c>
      <x:c r="D45" s="17" t="inlineStr">
        <x:is>
          <x:t xml:space="preserve">D_E</x:t>
        </x:is>
      </x:c>
      <x:c r="E45" s="17" t="inlineStr">
        <x:is>
          <x:t xml:space="preserve">Dette / CP</x:t>
        </x:is>
      </x:c>
      <x:c r="F45" s="20" t="n">
        <x:v>0</x:v>
      </x:c>
      <x:c r="G45" s="20" t="n">
        <x:v>2</x:v>
      </x:c>
      <x:c r="H45" s="17" t="inlineStr">
        <x:is>
          <x:t xml:space="preserve">x</x:t>
        </x:is>
      </x:c>
      <x:c r="I45" s="17" t="inlineStr">
        <x:is>
          <x:t xml:space="preserve">LOW_GOOD</x:t>
        </x:is>
      </x:c>
      <x:c r="J45" s="15" t="inlineStr">
        <x:is>
          <x:t xml:space="preserve">https://www.banque-france.fr/fr/publications-et-statistiques/statistiques/fascicules-dindicateurs-sectoriels</x:t>
        </x:is>
      </x:c>
      <x:c r="K45" s="15" t="inlineStr">
        <x:is>
          <x:t xml:space="preserve">Repères génériques. À adapter selon taille/maturité; remplacez par médianes/quartiles sectoriels si disponibles.</x:t>
        </x:is>
      </x:c>
    </x:row>
    <x:row r="46">
      <x:c r="A46" s="17" t="inlineStr">
        <x:is>
          <x:t xml:space="preserve">France|Retail|ICR</x:t>
        </x:is>
      </x:c>
      <x:c r="B46" s="17" t="inlineStr">
        <x:is>
          <x:t xml:space="preserve">France</x:t>
        </x:is>
      </x:c>
      <x:c r="C46" s="17" t="inlineStr">
        <x:is>
          <x:t xml:space="preserve">Retail</x:t>
        </x:is>
      </x:c>
      <x:c r="D46" s="17" t="inlineStr">
        <x:is>
          <x:t xml:space="preserve">ICR</x:t>
        </x:is>
      </x:c>
      <x:c r="E46" s="17" t="inlineStr">
        <x:is>
          <x:t xml:space="preserve">Couverture intérêts (EBIT/Intérêts)</x:t>
        </x:is>
      </x:c>
      <x:c r="F46" s="20" t="n">
        <x:v>2.5</x:v>
      </x:c>
      <x:c r="G46" s="20" t="n">
        <x:v>10</x:v>
      </x:c>
      <x:c r="H46" s="17" t="inlineStr">
        <x:is>
          <x:t xml:space="preserve">x</x:t>
        </x:is>
      </x:c>
      <x:c r="I46" s="17" t="inlineStr">
        <x:is>
          <x:t xml:space="preserve">HIGH_GOOD</x:t>
        </x:is>
      </x:c>
      <x:c r="J46" s="15" t="inlineStr">
        <x:is>
          <x:t xml:space="preserve">https://www.banque-france.fr/fr/publications-et-statistiques/statistiques/fascicules-dindicateurs-sectoriels</x:t>
        </x:is>
      </x:c>
      <x:c r="K46" s="15" t="inlineStr">
        <x:is>
          <x:t xml:space="preserve">Repères génériques. À adapter selon taille/maturité; remplacez par médianes/quartiles sectoriels si disponibles.</x:t>
        </x:is>
      </x:c>
    </x:row>
    <x:row r="47">
      <x:c r="A47" s="17" t="inlineStr">
        <x:is>
          <x:t xml:space="preserve">France|Retail|DSCR</x:t>
        </x:is>
      </x:c>
      <x:c r="B47" s="17" t="inlineStr">
        <x:is>
          <x:t xml:space="preserve">France</x:t>
        </x:is>
      </x:c>
      <x:c r="C47" s="17" t="inlineStr">
        <x:is>
          <x:t xml:space="preserve">Retail</x:t>
        </x:is>
      </x:c>
      <x:c r="D47" s="17" t="inlineStr">
        <x:is>
          <x:t xml:space="preserve">DSCR</x:t>
        </x:is>
      </x:c>
      <x:c r="E47" s="17" t="inlineStr">
        <x:is>
          <x:t xml:space="preserve">DSCR</x:t>
        </x:is>
      </x:c>
      <x:c r="F47" s="20" t="n">
        <x:v>1.1</x:v>
      </x:c>
      <x:c r="G47" s="20" t="n">
        <x:v>2.5</x:v>
      </x:c>
      <x:c r="H47" s="17" t="inlineStr">
        <x:is>
          <x:t xml:space="preserve">x</x:t>
        </x:is>
      </x:c>
      <x:c r="I47" s="17" t="inlineStr">
        <x:is>
          <x:t xml:space="preserve">HIGH_GOOD</x:t>
        </x:is>
      </x:c>
      <x:c r="J47" s="15" t="inlineStr">
        <x:is>
          <x:t xml:space="preserve">https://www.banque-france.fr/fr/publications-et-statistiques/statistiques/fascicules-dindicateurs-sectoriels</x:t>
        </x:is>
      </x:c>
      <x:c r="K47" s="15" t="inlineStr">
        <x:is>
          <x:t xml:space="preserve">Repères génériques. À adapter selon taille/maturité; remplacez par médianes/quartiles sectoriels si disponibles.</x:t>
        </x:is>
      </x:c>
    </x:row>
    <x:row r="48">
      <x:c r="A48" s="17" t="inlineStr">
        <x:is>
          <x:t xml:space="preserve">France|Retail|CFO_NI</x:t>
        </x:is>
      </x:c>
      <x:c r="B48" s="17" t="inlineStr">
        <x:is>
          <x:t xml:space="preserve">France</x:t>
        </x:is>
      </x:c>
      <x:c r="C48" s="17" t="inlineStr">
        <x:is>
          <x:t xml:space="preserve">Retail</x:t>
        </x:is>
      </x:c>
      <x:c r="D48" s="17" t="inlineStr">
        <x:is>
          <x:t xml:space="preserve">CFO_NI</x:t>
        </x:is>
      </x:c>
      <x:c r="E48" s="17" t="inlineStr">
        <x:is>
          <x:t xml:space="preserve">CFO / RN</x:t>
        </x:is>
      </x:c>
      <x:c r="F48" s="20" t="n">
        <x:v>0.9</x:v>
      </x:c>
      <x:c r="G48" s="20" t="n">
        <x:v>1.6</x:v>
      </x:c>
      <x:c r="H48" s="17" t="inlineStr">
        <x:is>
          <x:t xml:space="preserve">x</x:t>
        </x:is>
      </x:c>
      <x:c r="I48" s="17" t="inlineStr">
        <x:is>
          <x:t xml:space="preserve">HIGH_GOOD</x:t>
        </x:is>
      </x:c>
      <x:c r="J48" s="15" t="inlineStr">
        <x:is>
          <x:t xml:space="preserve">https://www.banque-france.fr/fr/publications-et-statistiques/statistiques/fascicules-dindicateurs-sectoriels</x:t>
        </x:is>
      </x:c>
      <x:c r="K48" s="15" t="inlineStr">
        <x:is>
          <x:t xml:space="preserve">Repères génériques. À adapter selon taille/maturité; remplacez par médianes/quartiles sectoriels si disponibles.</x:t>
        </x:is>
      </x:c>
    </x:row>
    <x:row r="49">
      <x:c r="A49" s="17" t="inlineStr">
        <x:is>
          <x:t xml:space="preserve">France|Retail|ROA</x:t>
        </x:is>
      </x:c>
      <x:c r="B49" s="17" t="inlineStr">
        <x:is>
          <x:t xml:space="preserve">France</x:t>
        </x:is>
      </x:c>
      <x:c r="C49" s="17" t="inlineStr">
        <x:is>
          <x:t xml:space="preserve">Retail</x:t>
        </x:is>
      </x:c>
      <x:c r="D49" s="17" t="inlineStr">
        <x:is>
          <x:t xml:space="preserve">ROA</x:t>
        </x:is>
      </x:c>
      <x:c r="E49" s="17" t="inlineStr">
        <x:is>
          <x:t xml:space="preserve">ROA</x:t>
        </x:is>
      </x:c>
      <x:c r="F49" s="18" t="n">
        <x:v>0.02</x:v>
      </x:c>
      <x:c r="G49" s="18" t="n">
        <x:v>0.08</x:v>
      </x:c>
      <x:c r="H49" s="17" t="inlineStr">
        <x:is>
          <x:t xml:space="preserve">%</x:t>
        </x:is>
      </x:c>
      <x:c r="I49" s="17" t="inlineStr">
        <x:is>
          <x:t xml:space="preserve">HIGH_GOOD</x:t>
        </x:is>
      </x:c>
      <x:c r="J49" s="15" t="inlineStr">
        <x:is>
          <x:t xml:space="preserve">https://www.banque-france.fr/fr/publications-et-statistiques/statistiques/fascicules-dindicateurs-sectoriels</x:t>
        </x:is>
      </x:c>
      <x:c r="K49" s="15" t="inlineStr">
        <x:is>
          <x:t xml:space="preserve">Repères génériques. À adapter selon taille/maturité; remplacez par médianes/quartiles sectoriels si disponibles.</x:t>
        </x:is>
      </x:c>
    </x:row>
    <x:row r="50">
      <x:c r="A50" s="17" t="inlineStr">
        <x:is>
          <x:t xml:space="preserve">France|Retail|ROE</x:t>
        </x:is>
      </x:c>
      <x:c r="B50" s="17" t="inlineStr">
        <x:is>
          <x:t xml:space="preserve">France</x:t>
        </x:is>
      </x:c>
      <x:c r="C50" s="17" t="inlineStr">
        <x:is>
          <x:t xml:space="preserve">Retail</x:t>
        </x:is>
      </x:c>
      <x:c r="D50" s="17" t="inlineStr">
        <x:is>
          <x:t xml:space="preserve">ROE</x:t>
        </x:is>
      </x:c>
      <x:c r="E50" s="17" t="inlineStr">
        <x:is>
          <x:t xml:space="preserve">ROE</x:t>
        </x:is>
      </x:c>
      <x:c r="F50" s="18" t="n">
        <x:v>0.08</x:v>
      </x:c>
      <x:c r="G50" s="18" t="n">
        <x:v>0.2</x:v>
      </x:c>
      <x:c r="H50" s="17" t="inlineStr">
        <x:is>
          <x:t xml:space="preserve">%</x:t>
        </x:is>
      </x:c>
      <x:c r="I50" s="17" t="inlineStr">
        <x:is>
          <x:t xml:space="preserve">HIGH_GOOD</x:t>
        </x:is>
      </x:c>
      <x:c r="J50" s="15" t="inlineStr">
        <x:is>
          <x:t xml:space="preserve">https://www.banque-france.fr/fr/publications-et-statistiques/statistiques/fascicules-dindicateurs-sectoriels</x:t>
        </x:is>
      </x:c>
      <x:c r="K50" s="15" t="inlineStr">
        <x:is>
          <x:t xml:space="preserve">Repères génériques. À adapter selon taille/maturité; remplacez par médianes/quartiles sectoriels si disponibles.</x:t>
        </x:is>
      </x:c>
    </x:row>
    <x:row r="51">
      <x:c r="A51" s="17" t="inlineStr">
        <x:is>
          <x:t xml:space="preserve">France|Retail|ROCE</x:t>
        </x:is>
      </x:c>
      <x:c r="B51" s="17" t="inlineStr">
        <x:is>
          <x:t xml:space="preserve">France</x:t>
        </x:is>
      </x:c>
      <x:c r="C51" s="17" t="inlineStr">
        <x:is>
          <x:t xml:space="preserve">Retail</x:t>
        </x:is>
      </x:c>
      <x:c r="D51" s="17" t="inlineStr">
        <x:is>
          <x:t xml:space="preserve">ROCE</x:t>
        </x:is>
      </x:c>
      <x:c r="E51" s="17" t="inlineStr">
        <x:is>
          <x:t xml:space="preserve">ROCE</x:t>
        </x:is>
      </x:c>
      <x:c r="F51" s="18" t="n">
        <x:v>0.08</x:v>
      </x:c>
      <x:c r="G51" s="18" t="n">
        <x:v>0.25</x:v>
      </x:c>
      <x:c r="H51" s="17" t="inlineStr">
        <x:is>
          <x:t xml:space="preserve">%</x:t>
        </x:is>
      </x:c>
      <x:c r="I51" s="17" t="inlineStr">
        <x:is>
          <x:t xml:space="preserve">HIGH_GOOD</x:t>
        </x:is>
      </x:c>
      <x:c r="J51" s="15" t="inlineStr">
        <x:is>
          <x:t xml:space="preserve">https://www.banque-france.fr/fr/publications-et-statistiques/statistiques/fascicules-dindicateurs-sectoriels</x:t>
        </x:is>
      </x:c>
      <x:c r="K51" s="15" t="inlineStr">
        <x:is>
          <x:t xml:space="preserve">Repères génériques. À adapter selon taille/maturité; remplacez par médianes/quartiles sectoriels si disponibles.</x:t>
        </x:is>
      </x:c>
    </x:row>
    <x:row r="52">
      <x:c r="A52" s="17" t="inlineStr">
        <x:is>
          <x:t xml:space="preserve">France|Services|M_GROSS</x:t>
        </x:is>
      </x:c>
      <x:c r="B52" s="17" t="inlineStr">
        <x:is>
          <x:t xml:space="preserve">France</x:t>
        </x:is>
      </x:c>
      <x:c r="C52" s="17" t="inlineStr">
        <x:is>
          <x:t xml:space="preserve">Services</x:t>
        </x:is>
      </x:c>
      <x:c r="D52" s="17" t="inlineStr">
        <x:is>
          <x:t xml:space="preserve">M_GROSS</x:t>
        </x:is>
      </x:c>
      <x:c r="E52" s="17" t="inlineStr">
        <x:is>
          <x:t xml:space="preserve">Marge brute</x:t>
        </x:is>
      </x:c>
      <x:c r="F52" s="18" t="n">
        <x:v>0.35</x:v>
      </x:c>
      <x:c r="G52" s="18" t="n">
        <x:v>0.7</x:v>
      </x:c>
      <x:c r="H52" s="17" t="inlineStr">
        <x:is>
          <x:t xml:space="preserve">%</x:t>
        </x:is>
      </x:c>
      <x:c r="I52" s="17" t="inlineStr">
        <x:is>
          <x:t xml:space="preserve">HIGH_GOOD</x:t>
        </x:is>
      </x:c>
      <x:c r="J52" s="15" t="inlineStr">
        <x:is>
          <x:t xml:space="preserve">https://www.banque-france.fr/fr/publications-et-statistiques/statistiques/fascicules-dindicateurs-sectoriels</x:t>
        </x:is>
      </x:c>
      <x:c r="K52" s="15" t="inlineStr">
        <x:is>
          <x:t xml:space="preserve">Repères génériques. À adapter selon taille/maturité; remplacez par médianes/quartiles sectoriels si disponibles.</x:t>
        </x:is>
      </x:c>
    </x:row>
    <x:row r="53">
      <x:c r="A53" s="17" t="inlineStr">
        <x:is>
          <x:t xml:space="preserve">France|Services|M_EBITDA</x:t>
        </x:is>
      </x:c>
      <x:c r="B53" s="17" t="inlineStr">
        <x:is>
          <x:t xml:space="preserve">France</x:t>
        </x:is>
      </x:c>
      <x:c r="C53" s="17" t="inlineStr">
        <x:is>
          <x:t xml:space="preserve">Services</x:t>
        </x:is>
      </x:c>
      <x:c r="D53" s="17" t="inlineStr">
        <x:is>
          <x:t xml:space="preserve">M_EBITDA</x:t>
        </x:is>
      </x:c>
      <x:c r="E53" s="17" t="inlineStr">
        <x:is>
          <x:t xml:space="preserve">Marge EBITDA</x:t>
        </x:is>
      </x:c>
      <x:c r="F53" s="18" t="n">
        <x:v>0.1</x:v>
      </x:c>
      <x:c r="G53" s="18" t="n">
        <x:v>0.25</x:v>
      </x:c>
      <x:c r="H53" s="17" t="inlineStr">
        <x:is>
          <x:t xml:space="preserve">%</x:t>
        </x:is>
      </x:c>
      <x:c r="I53" s="17" t="inlineStr">
        <x:is>
          <x:t xml:space="preserve">HIGH_GOOD</x:t>
        </x:is>
      </x:c>
      <x:c r="J53" s="15" t="inlineStr">
        <x:is>
          <x:t xml:space="preserve">https://www.banque-france.fr/fr/publications-et-statistiques/statistiques/fascicules-dindicateurs-sectoriels</x:t>
        </x:is>
      </x:c>
      <x:c r="K53" s="15" t="inlineStr">
        <x:is>
          <x:t xml:space="preserve">Repères génériques. À adapter selon taille/maturité; remplacez par médianes/quartiles sectoriels si disponibles.</x:t>
        </x:is>
      </x:c>
    </x:row>
    <x:row r="54">
      <x:c r="A54" s="17" t="inlineStr">
        <x:is>
          <x:t xml:space="preserve">France|Services|M_EBIT</x:t>
        </x:is>
      </x:c>
      <x:c r="B54" s="17" t="inlineStr">
        <x:is>
          <x:t xml:space="preserve">France</x:t>
        </x:is>
      </x:c>
      <x:c r="C54" s="17" t="inlineStr">
        <x:is>
          <x:t xml:space="preserve">Services</x:t>
        </x:is>
      </x:c>
      <x:c r="D54" s="17" t="inlineStr">
        <x:is>
          <x:t xml:space="preserve">M_EBIT</x:t>
        </x:is>
      </x:c>
      <x:c r="E54" s="17" t="inlineStr">
        <x:is>
          <x:t xml:space="preserve">Marge EBIT</x:t>
        </x:is>
      </x:c>
      <x:c r="F54" s="18" t="n">
        <x:v>0.06</x:v>
      </x:c>
      <x:c r="G54" s="18" t="n">
        <x:v>0.18</x:v>
      </x:c>
      <x:c r="H54" s="17" t="inlineStr">
        <x:is>
          <x:t xml:space="preserve">%</x:t>
        </x:is>
      </x:c>
      <x:c r="I54" s="17" t="inlineStr">
        <x:is>
          <x:t xml:space="preserve">HIGH_GOOD</x:t>
        </x:is>
      </x:c>
      <x:c r="J54" s="15" t="inlineStr">
        <x:is>
          <x:t xml:space="preserve">https://www.banque-france.fr/fr/publications-et-statistiques/statistiques/fascicules-dindicateurs-sectoriels</x:t>
        </x:is>
      </x:c>
      <x:c r="K54" s="15" t="inlineStr">
        <x:is>
          <x:t xml:space="preserve">Repères génériques. À adapter selon taille/maturité; remplacez par médianes/quartiles sectoriels si disponibles.</x:t>
        </x:is>
      </x:c>
    </x:row>
    <x:row r="55">
      <x:c r="A55" s="17" t="inlineStr">
        <x:is>
          <x:t xml:space="preserve">France|Services|M_NET</x:t>
        </x:is>
      </x:c>
      <x:c r="B55" s="17" t="inlineStr">
        <x:is>
          <x:t xml:space="preserve">France</x:t>
        </x:is>
      </x:c>
      <x:c r="C55" s="17" t="inlineStr">
        <x:is>
          <x:t xml:space="preserve">Services</x:t>
        </x:is>
      </x:c>
      <x:c r="D55" s="17" t="inlineStr">
        <x:is>
          <x:t xml:space="preserve">M_NET</x:t>
        </x:is>
      </x:c>
      <x:c r="E55" s="17" t="inlineStr">
        <x:is>
          <x:t xml:space="preserve">Marge nette</x:t>
        </x:is>
      </x:c>
      <x:c r="F55" s="18" t="n">
        <x:v>0.03</x:v>
      </x:c>
      <x:c r="G55" s="18" t="n">
        <x:v>0.12</x:v>
      </x:c>
      <x:c r="H55" s="17" t="inlineStr">
        <x:is>
          <x:t xml:space="preserve">%</x:t>
        </x:is>
      </x:c>
      <x:c r="I55" s="17" t="inlineStr">
        <x:is>
          <x:t xml:space="preserve">HIGH_GOOD</x:t>
        </x:is>
      </x:c>
      <x:c r="J55" s="15" t="inlineStr">
        <x:is>
          <x:t xml:space="preserve">https://www.banque-france.fr/fr/publications-et-statistiques/statistiques/fascicules-dindicateurs-sectoriels</x:t>
        </x:is>
      </x:c>
      <x:c r="K55" s="15" t="inlineStr">
        <x:is>
          <x:t xml:space="preserve">Repères génériques. À adapter selon taille/maturité; remplacez par médianes/quartiles sectoriels si disponibles.</x:t>
        </x:is>
      </x:c>
    </x:row>
    <x:row r="56">
      <x:c r="A56" s="17" t="inlineStr">
        <x:is>
          <x:t xml:space="preserve">France|Services|G_REV</x:t>
        </x:is>
      </x:c>
      <x:c r="B56" s="17" t="inlineStr">
        <x:is>
          <x:t xml:space="preserve">France</x:t>
        </x:is>
      </x:c>
      <x:c r="C56" s="17" t="inlineStr">
        <x:is>
          <x:t xml:space="preserve">Services</x:t>
        </x:is>
      </x:c>
      <x:c r="D56" s="17" t="inlineStr">
        <x:is>
          <x:t xml:space="preserve">G_REV</x:t>
        </x:is>
      </x:c>
      <x:c r="E56" s="17" t="inlineStr">
        <x:is>
          <x:t xml:space="preserve">Croissance CA</x:t>
        </x:is>
      </x:c>
      <x:c r="F56" s="18" t="n">
        <x:v>-0.03</x:v>
      </x:c>
      <x:c r="G56" s="18" t="n">
        <x:v>0.15</x:v>
      </x:c>
      <x:c r="H56" s="17" t="inlineStr">
        <x:is>
          <x:t xml:space="preserve">%</x:t>
        </x:is>
      </x:c>
      <x:c r="I56" s="17" t="inlineStr">
        <x:is>
          <x:t xml:space="preserve">HIGH_GOOD</x:t>
        </x:is>
      </x:c>
      <x:c r="J56" s="15" t="inlineStr">
        <x:is>
          <x:t xml:space="preserve">https://www.banque-france.fr/fr/publications-et-statistiques/statistiques/fascicules-dindicateurs-sectoriels</x:t>
        </x:is>
      </x:c>
      <x:c r="K56" s="15" t="inlineStr">
        <x:is>
          <x:t xml:space="preserve">Repères génériques. À adapter selon taille/maturité; remplacez par médianes/quartiles sectoriels si disponibles.</x:t>
        </x:is>
      </x:c>
    </x:row>
    <x:row r="57">
      <x:c r="A57" s="17" t="inlineStr">
        <x:is>
          <x:t xml:space="preserve">France|Services|G_NI</x:t>
        </x:is>
      </x:c>
      <x:c r="B57" s="17" t="inlineStr">
        <x:is>
          <x:t xml:space="preserve">France</x:t>
        </x:is>
      </x:c>
      <x:c r="C57" s="17" t="inlineStr">
        <x:is>
          <x:t xml:space="preserve">Services</x:t>
        </x:is>
      </x:c>
      <x:c r="D57" s="17" t="inlineStr">
        <x:is>
          <x:t xml:space="preserve">G_NI</x:t>
        </x:is>
      </x:c>
      <x:c r="E57" s="17" t="inlineStr">
        <x:is>
          <x:t xml:space="preserve">Croissance RN</x:t>
        </x:is>
      </x:c>
      <x:c r="F57" s="18" t="n">
        <x:v>-0.1</x:v>
      </x:c>
      <x:c r="G57" s="18" t="n">
        <x:v>0.2</x:v>
      </x:c>
      <x:c r="H57" s="17" t="inlineStr">
        <x:is>
          <x:t xml:space="preserve">%</x:t>
        </x:is>
      </x:c>
      <x:c r="I57" s="17" t="inlineStr">
        <x:is>
          <x:t xml:space="preserve">HIGH_GOOD</x:t>
        </x:is>
      </x:c>
      <x:c r="J57" s="15" t="inlineStr">
        <x:is>
          <x:t xml:space="preserve">https://www.banque-france.fr/fr/publications-et-statistiques/statistiques/fascicules-dindicateurs-sectoriels</x:t>
        </x:is>
      </x:c>
      <x:c r="K57" s="15" t="inlineStr">
        <x:is>
          <x:t xml:space="preserve">Repères génériques. À adapter selon taille/maturité; remplacez par médianes/quartiles sectoriels si disponibles.</x:t>
        </x:is>
      </x:c>
    </x:row>
    <x:row r="58">
      <x:c r="A58" s="17" t="inlineStr">
        <x:is>
          <x:t xml:space="preserve">France|Services|D_INV</x:t>
        </x:is>
      </x:c>
      <x:c r="B58" s="17" t="inlineStr">
        <x:is>
          <x:t xml:space="preserve">France</x:t>
        </x:is>
      </x:c>
      <x:c r="C58" s="17" t="inlineStr">
        <x:is>
          <x:t xml:space="preserve">Services</x:t>
        </x:is>
      </x:c>
      <x:c r="D58" s="17" t="inlineStr">
        <x:is>
          <x:t xml:space="preserve">D_INV</x:t>
        </x:is>
      </x:c>
      <x:c r="E58" s="17" t="inlineStr">
        <x:is>
          <x:t xml:space="preserve">Jours de stocks</x:t>
        </x:is>
      </x:c>
      <x:c r="F58" s="26" t="n">
        <x:v>0</x:v>
      </x:c>
      <x:c r="G58" s="26" t="n">
        <x:v>20</x:v>
      </x:c>
      <x:c r="H58" s="17" t="inlineStr">
        <x:is>
          <x:t xml:space="preserve">jours</x:t>
        </x:is>
      </x:c>
      <x:c r="I58" s="17" t="inlineStr">
        <x:is>
          <x:t xml:space="preserve">LOW_GOOD</x:t>
        </x:is>
      </x:c>
      <x:c r="J58" s="15" t="inlineStr">
        <x:is>
          <x:t xml:space="preserve">https://www.banque-france.fr/fr/publications-et-statistiques/statistiques/fascicules-dindicateurs-sectoriels</x:t>
        </x:is>
      </x:c>
      <x:c r="K58" s="15" t="inlineStr">
        <x:is>
          <x:t xml:space="preserve">Repères génériques. À adapter selon taille/maturité; remplacez par médianes/quartiles sectoriels si disponibles.</x:t>
        </x:is>
      </x:c>
    </x:row>
    <x:row r="59">
      <x:c r="A59" s="17" t="inlineStr">
        <x:is>
          <x:t xml:space="preserve">France|Services|DSO</x:t>
        </x:is>
      </x:c>
      <x:c r="B59" s="17" t="inlineStr">
        <x:is>
          <x:t xml:space="preserve">France</x:t>
        </x:is>
      </x:c>
      <x:c r="C59" s="17" t="inlineStr">
        <x:is>
          <x:t xml:space="preserve">Services</x:t>
        </x:is>
      </x:c>
      <x:c r="D59" s="17" t="inlineStr">
        <x:is>
          <x:t xml:space="preserve">DSO</x:t>
        </x:is>
      </x:c>
      <x:c r="E59" s="17" t="inlineStr">
        <x:is>
          <x:t xml:space="preserve">DSO (jours clients)</x:t>
        </x:is>
      </x:c>
      <x:c r="F59" s="26" t="n">
        <x:v>40</x:v>
      </x:c>
      <x:c r="G59" s="26" t="n">
        <x:v>80</x:v>
      </x:c>
      <x:c r="H59" s="17" t="inlineStr">
        <x:is>
          <x:t xml:space="preserve">jours</x:t>
        </x:is>
      </x:c>
      <x:c r="I59" s="17" t="inlineStr">
        <x:is>
          <x:t xml:space="preserve">LOW_GOOD</x:t>
        </x:is>
      </x:c>
      <x:c r="J59" s="15" t="inlineStr">
        <x:is>
          <x:t xml:space="preserve">https://www.banque-france.fr/fr/publications-et-statistiques/statistiques/fascicules-dindicateurs-sectoriels</x:t>
        </x:is>
      </x:c>
      <x:c r="K59" s="15" t="inlineStr">
        <x:is>
          <x:t xml:space="preserve">Repère. Délais B2B encadrés (max ~60 jours sauf accords).</x:t>
        </x:is>
      </x:c>
    </x:row>
    <x:row r="60">
      <x:c r="A60" s="17" t="inlineStr">
        <x:is>
          <x:t xml:space="preserve">France|Services|DPO</x:t>
        </x:is>
      </x:c>
      <x:c r="B60" s="17" t="inlineStr">
        <x:is>
          <x:t xml:space="preserve">France</x:t>
        </x:is>
      </x:c>
      <x:c r="C60" s="17" t="inlineStr">
        <x:is>
          <x:t xml:space="preserve">Services</x:t>
        </x:is>
      </x:c>
      <x:c r="D60" s="17" t="inlineStr">
        <x:is>
          <x:t xml:space="preserve">DPO</x:t>
        </x:is>
      </x:c>
      <x:c r="E60" s="17" t="inlineStr">
        <x:is>
          <x:t xml:space="preserve">DPO (jours fournisseurs)</x:t>
        </x:is>
      </x:c>
      <x:c r="F60" s="26" t="n">
        <x:v>30</x:v>
      </x:c>
      <x:c r="G60" s="26" t="n">
        <x:v>75</x:v>
      </x:c>
      <x:c r="H60" s="17" t="inlineStr">
        <x:is>
          <x:t xml:space="preserve">jours</x:t>
        </x:is>
      </x:c>
      <x:c r="I60" s="17" t="inlineStr">
        <x:is>
          <x:t xml:space="preserve">RANGE</x:t>
        </x:is>
      </x:c>
      <x:c r="J60" s="15" t="inlineStr">
        <x:is>
          <x:t xml:space="preserve">https://www.banque-france.fr/fr/publications-et-statistiques/statistiques/fascicules-dindicateurs-sectoriels</x:t>
        </x:is>
      </x:c>
      <x:c r="K60" s="15" t="inlineStr">
        <x:is>
          <x:t xml:space="preserve">Repère. Délais B2B encadrés (max ~60 jours sauf accords).</x:t>
        </x:is>
      </x:c>
    </x:row>
    <x:row r="61">
      <x:c r="A61" s="17" t="inlineStr">
        <x:is>
          <x:t xml:space="preserve">France|Services|CCC</x:t>
        </x:is>
      </x:c>
      <x:c r="B61" s="17" t="inlineStr">
        <x:is>
          <x:t xml:space="preserve">France</x:t>
        </x:is>
      </x:c>
      <x:c r="C61" s="17" t="inlineStr">
        <x:is>
          <x:t xml:space="preserve">Services</x:t>
        </x:is>
      </x:c>
      <x:c r="D61" s="17" t="inlineStr">
        <x:is>
          <x:t xml:space="preserve">CCC</x:t>
        </x:is>
      </x:c>
      <x:c r="E61" s="17" t="inlineStr">
        <x:is>
          <x:t xml:space="preserve">Cycle de conversion cash (jours)</x:t>
        </x:is>
      </x:c>
      <x:c r="F61" s="26" t="n">
        <x:v>10</x:v>
      </x:c>
      <x:c r="G61" s="26" t="n">
        <x:v>80</x:v>
      </x:c>
      <x:c r="H61" s="17" t="inlineStr">
        <x:is>
          <x:t xml:space="preserve">jours</x:t>
        </x:is>
      </x:c>
      <x:c r="I61" s="17" t="inlineStr">
        <x:is>
          <x:t xml:space="preserve">LOW_GOOD</x:t>
        </x:is>
      </x:c>
      <x:c r="J61" s="15" t="inlineStr">
        <x:is>
          <x:t xml:space="preserve">https://www.banque-france.fr/fr/publications-et-statistiques/statistiques/fascicules-dindicateurs-sectoriels</x:t>
        </x:is>
      </x:c>
      <x:c r="K61" s="15" t="inlineStr">
        <x:is>
          <x:t xml:space="preserve">Repères génériques. À adapter selon taille/maturité; remplacez par médianes/quartiles sectoriels si disponibles.</x:t>
        </x:is>
      </x:c>
    </x:row>
    <x:row r="62">
      <x:c r="A62" s="17" t="inlineStr">
        <x:is>
          <x:t xml:space="preserve">France|Services|BFR_REV</x:t>
        </x:is>
      </x:c>
      <x:c r="B62" s="17" t="inlineStr">
        <x:is>
          <x:t xml:space="preserve">France</x:t>
        </x:is>
      </x:c>
      <x:c r="C62" s="17" t="inlineStr">
        <x:is>
          <x:t xml:space="preserve">Services</x:t>
        </x:is>
      </x:c>
      <x:c r="D62" s="17" t="inlineStr">
        <x:is>
          <x:t xml:space="preserve">BFR_REV</x:t>
        </x:is>
      </x:c>
      <x:c r="E62" s="17" t="inlineStr">
        <x:is>
          <x:t xml:space="preserve">BFR / CA</x:t>
        </x:is>
      </x:c>
      <x:c r="F62" s="18" t="n">
        <x:v>0</x:v>
      </x:c>
      <x:c r="G62" s="18" t="n">
        <x:v>0.25</x:v>
      </x:c>
      <x:c r="H62" s="17" t="inlineStr">
        <x:is>
          <x:t xml:space="preserve">%</x:t>
        </x:is>
      </x:c>
      <x:c r="I62" s="17" t="inlineStr">
        <x:is>
          <x:t xml:space="preserve">RANGE</x:t>
        </x:is>
      </x:c>
      <x:c r="J62" s="15" t="inlineStr">
        <x:is>
          <x:t xml:space="preserve">https://www.banque-france.fr/fr/publications-et-statistiques/statistiques/fascicules-dindicateurs-sectoriels</x:t>
        </x:is>
      </x:c>
      <x:c r="K62" s="15" t="inlineStr">
        <x:is>
          <x:t xml:space="preserve">Repères génériques. À adapter selon taille/maturité; remplacez par médianes/quartiles sectoriels si disponibles.</x:t>
        </x:is>
      </x:c>
    </x:row>
    <x:row r="63">
      <x:c r="A63" s="17" t="inlineStr">
        <x:is>
          <x:t xml:space="preserve">France|Services|EQ_RATIO</x:t>
        </x:is>
      </x:c>
      <x:c r="B63" s="17" t="inlineStr">
        <x:is>
          <x:t xml:space="preserve">France</x:t>
        </x:is>
      </x:c>
      <x:c r="C63" s="17" t="inlineStr">
        <x:is>
          <x:t xml:space="preserve">Services</x:t>
        </x:is>
      </x:c>
      <x:c r="D63" s="17" t="inlineStr">
        <x:is>
          <x:t xml:space="preserve">EQ_RATIO</x:t>
        </x:is>
      </x:c>
      <x:c r="E63" s="17" t="inlineStr">
        <x:is>
          <x:t xml:space="preserve">Autonomie financière (CP/Total bilan)</x:t>
        </x:is>
      </x:c>
      <x:c r="F63" s="18" t="n">
        <x:v>0.3</x:v>
      </x:c>
      <x:c r="G63" s="18" t="n">
        <x:v>0.65</x:v>
      </x:c>
      <x:c r="H63" s="17" t="inlineStr">
        <x:is>
          <x:t xml:space="preserve">%</x:t>
        </x:is>
      </x:c>
      <x:c r="I63" s="17" t="inlineStr">
        <x:is>
          <x:t xml:space="preserve">HIGH_GOOD</x:t>
        </x:is>
      </x:c>
      <x:c r="J63" s="15" t="inlineStr">
        <x:is>
          <x:t xml:space="preserve">https://www.banque-france.fr/fr/publications-et-statistiques/statistiques/fascicules-dindicateurs-sectoriels</x:t>
        </x:is>
      </x:c>
      <x:c r="K63" s="15" t="inlineStr">
        <x:is>
          <x:t xml:space="preserve">Repères génériques. À adapter selon taille/maturité; remplacez par médianes/quartiles sectoriels si disponibles.</x:t>
        </x:is>
      </x:c>
    </x:row>
    <x:row r="64">
      <x:c r="A64" s="17" t="inlineStr">
        <x:is>
          <x:t xml:space="preserve">France|Services|GEARING</x:t>
        </x:is>
      </x:c>
      <x:c r="B64" s="17" t="inlineStr">
        <x:is>
          <x:t xml:space="preserve">France</x:t>
        </x:is>
      </x:c>
      <x:c r="C64" s="17" t="inlineStr">
        <x:is>
          <x:t xml:space="preserve">Services</x:t>
        </x:is>
      </x:c>
      <x:c r="D64" s="17" t="inlineStr">
        <x:is>
          <x:t xml:space="preserve">GEARING</x:t>
        </x:is>
      </x:c>
      <x:c r="E64" s="17" t="inlineStr">
        <x:is>
          <x:t xml:space="preserve">Gearing (Dette nette/CP)</x:t>
        </x:is>
      </x:c>
      <x:c r="F64" s="20" t="n">
        <x:v>0</x:v>
      </x:c>
      <x:c r="G64" s="20" t="n">
        <x:v>0.8</x:v>
      </x:c>
      <x:c r="H64" s="17" t="inlineStr">
        <x:is>
          <x:t xml:space="preserve">x</x:t>
        </x:is>
      </x:c>
      <x:c r="I64" s="17" t="inlineStr">
        <x:is>
          <x:t xml:space="preserve">LOW_GOOD</x:t>
        </x:is>
      </x:c>
      <x:c r="J64" s="15" t="inlineStr">
        <x:is>
          <x:t xml:space="preserve">https://www.banque-france.fr/fr/publications-et-statistiques/statistiques/fascicules-dindicateurs-sectoriels</x:t>
        </x:is>
      </x:c>
      <x:c r="K64" s="15" t="inlineStr">
        <x:is>
          <x:t xml:space="preserve">Repères génériques. À adapter selon taille/maturité; remplacez par médianes/quartiles sectoriels si disponibles.</x:t>
        </x:is>
      </x:c>
    </x:row>
    <x:row r="65">
      <x:c r="A65" s="17" t="inlineStr">
        <x:is>
          <x:t xml:space="preserve">France|Services|CURR</x:t>
        </x:is>
      </x:c>
      <x:c r="B65" s="17" t="inlineStr">
        <x:is>
          <x:t xml:space="preserve">France</x:t>
        </x:is>
      </x:c>
      <x:c r="C65" s="17" t="inlineStr">
        <x:is>
          <x:t xml:space="preserve">Services</x:t>
        </x:is>
      </x:c>
      <x:c r="D65" s="17" t="inlineStr">
        <x:is>
          <x:t xml:space="preserve">CURR</x:t>
        </x:is>
      </x:c>
      <x:c r="E65" s="17" t="inlineStr">
        <x:is>
          <x:t xml:space="preserve">Current ratio</x:t>
        </x:is>
      </x:c>
      <x:c r="F65" s="20" t="n">
        <x:v>1.2</x:v>
      </x:c>
      <x:c r="G65" s="20" t="n">
        <x:v>2.5</x:v>
      </x:c>
      <x:c r="H65" s="17" t="inlineStr">
        <x:is>
          <x:t xml:space="preserve">x</x:t>
        </x:is>
      </x:c>
      <x:c r="I65" s="17" t="inlineStr">
        <x:is>
          <x:t xml:space="preserve">RANGE</x:t>
        </x:is>
      </x:c>
      <x:c r="J65" s="15" t="inlineStr">
        <x:is>
          <x:t xml:space="preserve">https://www.banque-france.fr/fr/publications-et-statistiques/statistiques/fascicules-dindicateurs-sectoriels</x:t>
        </x:is>
      </x:c>
      <x:c r="K65" s="15" t="inlineStr">
        <x:is>
          <x:t xml:space="preserve">Repères génériques. À adapter selon taille/maturité; remplacez par médianes/quartiles sectoriels si disponibles.</x:t>
        </x:is>
      </x:c>
    </x:row>
    <x:row r="66">
      <x:c r="A66" s="17" t="inlineStr">
        <x:is>
          <x:t xml:space="preserve">France|Services|QUICK</x:t>
        </x:is>
      </x:c>
      <x:c r="B66" s="17" t="inlineStr">
        <x:is>
          <x:t xml:space="preserve">France</x:t>
        </x:is>
      </x:c>
      <x:c r="C66" s="17" t="inlineStr">
        <x:is>
          <x:t xml:space="preserve">Services</x:t>
        </x:is>
      </x:c>
      <x:c r="D66" s="17" t="inlineStr">
        <x:is>
          <x:t xml:space="preserve">QUICK</x:t>
        </x:is>
      </x:c>
      <x:c r="E66" s="17" t="inlineStr">
        <x:is>
          <x:t xml:space="preserve">Quick ratio</x:t>
        </x:is>
      </x:c>
      <x:c r="F66" s="20" t="n">
        <x:v>1</x:v>
      </x:c>
      <x:c r="G66" s="20" t="n">
        <x:v>2</x:v>
      </x:c>
      <x:c r="H66" s="17" t="inlineStr">
        <x:is>
          <x:t xml:space="preserve">x</x:t>
        </x:is>
      </x:c>
      <x:c r="I66" s="17" t="inlineStr">
        <x:is>
          <x:t xml:space="preserve">RANGE</x:t>
        </x:is>
      </x:c>
      <x:c r="J66" s="15" t="inlineStr">
        <x:is>
          <x:t xml:space="preserve">https://www.banque-france.fr/fr/publications-et-statistiques/statistiques/fascicules-dindicateurs-sectoriels</x:t>
        </x:is>
      </x:c>
      <x:c r="K66" s="15" t="inlineStr">
        <x:is>
          <x:t xml:space="preserve">Repères génériques. À adapter selon taille/maturité; remplacez par médianes/quartiles sectoriels si disponibles.</x:t>
        </x:is>
      </x:c>
    </x:row>
    <x:row r="67">
      <x:c r="A67" s="17" t="inlineStr">
        <x:is>
          <x:t xml:space="preserve">France|Services|CASHR</x:t>
        </x:is>
      </x:c>
      <x:c r="B67" s="17" t="inlineStr">
        <x:is>
          <x:t xml:space="preserve">France</x:t>
        </x:is>
      </x:c>
      <x:c r="C67" s="17" t="inlineStr">
        <x:is>
          <x:t xml:space="preserve">Services</x:t>
        </x:is>
      </x:c>
      <x:c r="D67" s="17" t="inlineStr">
        <x:is>
          <x:t xml:space="preserve">CASHR</x:t>
        </x:is>
      </x:c>
      <x:c r="E67" s="17" t="inlineStr">
        <x:is>
          <x:t xml:space="preserve">Cash ratio</x:t>
        </x:is>
      </x:c>
      <x:c r="F67" s="20" t="n">
        <x:v>0.25</x:v>
      </x:c>
      <x:c r="G67" s="20" t="n">
        <x:v>1</x:v>
      </x:c>
      <x:c r="H67" s="17" t="inlineStr">
        <x:is>
          <x:t xml:space="preserve">x</x:t>
        </x:is>
      </x:c>
      <x:c r="I67" s="17" t="inlineStr">
        <x:is>
          <x:t xml:space="preserve">RANGE</x:t>
        </x:is>
      </x:c>
      <x:c r="J67" s="15" t="inlineStr">
        <x:is>
          <x:t xml:space="preserve">https://www.banque-france.fr/fr/publications-et-statistiques/statistiques/fascicules-dindicateurs-sectoriels</x:t>
        </x:is>
      </x:c>
      <x:c r="K67" s="15" t="inlineStr">
        <x:is>
          <x:t xml:space="preserve">Repères génériques. À adapter selon taille/maturité; remplacez par médianes/quartiles sectoriels si disponibles.</x:t>
        </x:is>
      </x:c>
    </x:row>
    <x:row r="68">
      <x:c r="A68" s="17" t="inlineStr">
        <x:is>
          <x:t xml:space="preserve">France|Services|ND_EBITDA</x:t>
        </x:is>
      </x:c>
      <x:c r="B68" s="17" t="inlineStr">
        <x:is>
          <x:t xml:space="preserve">France</x:t>
        </x:is>
      </x:c>
      <x:c r="C68" s="17" t="inlineStr">
        <x:is>
          <x:t xml:space="preserve">Services</x:t>
        </x:is>
      </x:c>
      <x:c r="D68" s="17" t="inlineStr">
        <x:is>
          <x:t xml:space="preserve">ND_EBITDA</x:t>
        </x:is>
      </x:c>
      <x:c r="E68" s="17" t="inlineStr">
        <x:is>
          <x:t xml:space="preserve">Dette nette / EBITDA</x:t>
        </x:is>
      </x:c>
      <x:c r="F68" s="20" t="n">
        <x:v>0</x:v>
      </x:c>
      <x:c r="G68" s="20" t="n">
        <x:v>2.5</x:v>
      </x:c>
      <x:c r="H68" s="17" t="inlineStr">
        <x:is>
          <x:t xml:space="preserve">x</x:t>
        </x:is>
      </x:c>
      <x:c r="I68" s="17" t="inlineStr">
        <x:is>
          <x:t xml:space="preserve">LOW_GOOD</x:t>
        </x:is>
      </x:c>
      <x:c r="J68" s="15" t="inlineStr">
        <x:is>
          <x:t xml:space="preserve">https://www.banque-france.fr/fr/publications-et-statistiques/statistiques/fascicules-dindicateurs-sectoriels</x:t>
        </x:is>
      </x:c>
      <x:c r="K68" s="15" t="inlineStr">
        <x:is>
          <x:t xml:space="preserve">Repères génériques. À adapter selon taille/maturité; remplacez par médianes/quartiles sectoriels si disponibles.</x:t>
        </x:is>
      </x:c>
    </x:row>
    <x:row r="69">
      <x:c r="A69" s="17" t="inlineStr">
        <x:is>
          <x:t xml:space="preserve">France|Services|D_E</x:t>
        </x:is>
      </x:c>
      <x:c r="B69" s="17" t="inlineStr">
        <x:is>
          <x:t xml:space="preserve">France</x:t>
        </x:is>
      </x:c>
      <x:c r="C69" s="17" t="inlineStr">
        <x:is>
          <x:t xml:space="preserve">Services</x:t>
        </x:is>
      </x:c>
      <x:c r="D69" s="17" t="inlineStr">
        <x:is>
          <x:t xml:space="preserve">D_E</x:t>
        </x:is>
      </x:c>
      <x:c r="E69" s="17" t="inlineStr">
        <x:is>
          <x:t xml:space="preserve">Dette / CP</x:t>
        </x:is>
      </x:c>
      <x:c r="F69" s="20" t="n">
        <x:v>0</x:v>
      </x:c>
      <x:c r="G69" s="20" t="n">
        <x:v>1.2</x:v>
      </x:c>
      <x:c r="H69" s="17" t="inlineStr">
        <x:is>
          <x:t xml:space="preserve">x</x:t>
        </x:is>
      </x:c>
      <x:c r="I69" s="17" t="inlineStr">
        <x:is>
          <x:t xml:space="preserve">LOW_GOOD</x:t>
        </x:is>
      </x:c>
      <x:c r="J69" s="15" t="inlineStr">
        <x:is>
          <x:t xml:space="preserve">https://www.banque-france.fr/fr/publications-et-statistiques/statistiques/fascicules-dindicateurs-sectoriels</x:t>
        </x:is>
      </x:c>
      <x:c r="K69" s="15" t="inlineStr">
        <x:is>
          <x:t xml:space="preserve">Repères génériques. À adapter selon taille/maturité; remplacez par médianes/quartiles sectoriels si disponibles.</x:t>
        </x:is>
      </x:c>
    </x:row>
    <x:row r="70">
      <x:c r="A70" s="17" t="inlineStr">
        <x:is>
          <x:t xml:space="preserve">France|Services|ICR</x:t>
        </x:is>
      </x:c>
      <x:c r="B70" s="17" t="inlineStr">
        <x:is>
          <x:t xml:space="preserve">France</x:t>
        </x:is>
      </x:c>
      <x:c r="C70" s="17" t="inlineStr">
        <x:is>
          <x:t xml:space="preserve">Services</x:t>
        </x:is>
      </x:c>
      <x:c r="D70" s="17" t="inlineStr">
        <x:is>
          <x:t xml:space="preserve">ICR</x:t>
        </x:is>
      </x:c>
      <x:c r="E70" s="17" t="inlineStr">
        <x:is>
          <x:t xml:space="preserve">Couverture intérêts (EBIT/Intérêts)</x:t>
        </x:is>
      </x:c>
      <x:c r="F70" s="20" t="n">
        <x:v>3</x:v>
      </x:c>
      <x:c r="G70" s="20" t="n">
        <x:v>15</x:v>
      </x:c>
      <x:c r="H70" s="17" t="inlineStr">
        <x:is>
          <x:t xml:space="preserve">x</x:t>
        </x:is>
      </x:c>
      <x:c r="I70" s="17" t="inlineStr">
        <x:is>
          <x:t xml:space="preserve">HIGH_GOOD</x:t>
        </x:is>
      </x:c>
      <x:c r="J70" s="15" t="inlineStr">
        <x:is>
          <x:t xml:space="preserve">https://www.banque-france.fr/fr/publications-et-statistiques/statistiques/fascicules-dindicateurs-sectoriels</x:t>
        </x:is>
      </x:c>
      <x:c r="K70" s="15" t="inlineStr">
        <x:is>
          <x:t xml:space="preserve">Repères génériques. À adapter selon taille/maturité; remplacez par médianes/quartiles sectoriels si disponibles.</x:t>
        </x:is>
      </x:c>
    </x:row>
    <x:row r="71">
      <x:c r="A71" s="17" t="inlineStr">
        <x:is>
          <x:t xml:space="preserve">France|Services|DSCR</x:t>
        </x:is>
      </x:c>
      <x:c r="B71" s="17" t="inlineStr">
        <x:is>
          <x:t xml:space="preserve">France</x:t>
        </x:is>
      </x:c>
      <x:c r="C71" s="17" t="inlineStr">
        <x:is>
          <x:t xml:space="preserve">Services</x:t>
        </x:is>
      </x:c>
      <x:c r="D71" s="17" t="inlineStr">
        <x:is>
          <x:t xml:space="preserve">DSCR</x:t>
        </x:is>
      </x:c>
      <x:c r="E71" s="17" t="inlineStr">
        <x:is>
          <x:t xml:space="preserve">DSCR</x:t>
        </x:is>
      </x:c>
      <x:c r="F71" s="20" t="n">
        <x:v>1.2</x:v>
      </x:c>
      <x:c r="G71" s="20" t="n">
        <x:v>3.5</x:v>
      </x:c>
      <x:c r="H71" s="17" t="inlineStr">
        <x:is>
          <x:t xml:space="preserve">x</x:t>
        </x:is>
      </x:c>
      <x:c r="I71" s="17" t="inlineStr">
        <x:is>
          <x:t xml:space="preserve">HIGH_GOOD</x:t>
        </x:is>
      </x:c>
      <x:c r="J71" s="15" t="inlineStr">
        <x:is>
          <x:t xml:space="preserve">https://www.banque-france.fr/fr/publications-et-statistiques/statistiques/fascicules-dindicateurs-sectoriels</x:t>
        </x:is>
      </x:c>
      <x:c r="K71" s="15" t="inlineStr">
        <x:is>
          <x:t xml:space="preserve">Repères génériques. À adapter selon taille/maturité; remplacez par médianes/quartiles sectoriels si disponibles.</x:t>
        </x:is>
      </x:c>
    </x:row>
    <x:row r="72">
      <x:c r="A72" s="17" t="inlineStr">
        <x:is>
          <x:t xml:space="preserve">France|Services|CFO_NI</x:t>
        </x:is>
      </x:c>
      <x:c r="B72" s="17" t="inlineStr">
        <x:is>
          <x:t xml:space="preserve">France</x:t>
        </x:is>
      </x:c>
      <x:c r="C72" s="17" t="inlineStr">
        <x:is>
          <x:t xml:space="preserve">Services</x:t>
        </x:is>
      </x:c>
      <x:c r="D72" s="17" t="inlineStr">
        <x:is>
          <x:t xml:space="preserve">CFO_NI</x:t>
        </x:is>
      </x:c>
      <x:c r="E72" s="17" t="inlineStr">
        <x:is>
          <x:t xml:space="preserve">CFO / RN</x:t>
        </x:is>
      </x:c>
      <x:c r="F72" s="20" t="n">
        <x:v>0.9</x:v>
      </x:c>
      <x:c r="G72" s="20" t="n">
        <x:v>1.7</x:v>
      </x:c>
      <x:c r="H72" s="17" t="inlineStr">
        <x:is>
          <x:t xml:space="preserve">x</x:t>
        </x:is>
      </x:c>
      <x:c r="I72" s="17" t="inlineStr">
        <x:is>
          <x:t xml:space="preserve">HIGH_GOOD</x:t>
        </x:is>
      </x:c>
      <x:c r="J72" s="15" t="inlineStr">
        <x:is>
          <x:t xml:space="preserve">https://www.banque-france.fr/fr/publications-et-statistiques/statistiques/fascicules-dindicateurs-sectoriels</x:t>
        </x:is>
      </x:c>
      <x:c r="K72" s="15" t="inlineStr">
        <x:is>
          <x:t xml:space="preserve">Repères génériques. À adapter selon taille/maturité; remplacez par médianes/quartiles sectoriels si disponibles.</x:t>
        </x:is>
      </x:c>
    </x:row>
    <x:row r="73">
      <x:c r="A73" s="17" t="inlineStr">
        <x:is>
          <x:t xml:space="preserve">France|Services|ROA</x:t>
        </x:is>
      </x:c>
      <x:c r="B73" s="17" t="inlineStr">
        <x:is>
          <x:t xml:space="preserve">France</x:t>
        </x:is>
      </x:c>
      <x:c r="C73" s="17" t="inlineStr">
        <x:is>
          <x:t xml:space="preserve">Services</x:t>
        </x:is>
      </x:c>
      <x:c r="D73" s="17" t="inlineStr">
        <x:is>
          <x:t xml:space="preserve">ROA</x:t>
        </x:is>
      </x:c>
      <x:c r="E73" s="17" t="inlineStr">
        <x:is>
          <x:t xml:space="preserve">ROA</x:t>
        </x:is>
      </x:c>
      <x:c r="F73" s="18" t="n">
        <x:v>0.03</x:v>
      </x:c>
      <x:c r="G73" s="18" t="n">
        <x:v>0.1</x:v>
      </x:c>
      <x:c r="H73" s="17" t="inlineStr">
        <x:is>
          <x:t xml:space="preserve">%</x:t>
        </x:is>
      </x:c>
      <x:c r="I73" s="17" t="inlineStr">
        <x:is>
          <x:t xml:space="preserve">HIGH_GOOD</x:t>
        </x:is>
      </x:c>
      <x:c r="J73" s="15" t="inlineStr">
        <x:is>
          <x:t xml:space="preserve">https://www.banque-france.fr/fr/publications-et-statistiques/statistiques/fascicules-dindicateurs-sectoriels</x:t>
        </x:is>
      </x:c>
      <x:c r="K73" s="15" t="inlineStr">
        <x:is>
          <x:t xml:space="preserve">Repères génériques. À adapter selon taille/maturité; remplacez par médianes/quartiles sectoriels si disponibles.</x:t>
        </x:is>
      </x:c>
    </x:row>
    <x:row r="74">
      <x:c r="A74" s="17" t="inlineStr">
        <x:is>
          <x:t xml:space="preserve">France|Services|ROE</x:t>
        </x:is>
      </x:c>
      <x:c r="B74" s="17" t="inlineStr">
        <x:is>
          <x:t xml:space="preserve">France</x:t>
        </x:is>
      </x:c>
      <x:c r="C74" s="17" t="inlineStr">
        <x:is>
          <x:t xml:space="preserve">Services</x:t>
        </x:is>
      </x:c>
      <x:c r="D74" s="17" t="inlineStr">
        <x:is>
          <x:t xml:space="preserve">ROE</x:t>
        </x:is>
      </x:c>
      <x:c r="E74" s="17" t="inlineStr">
        <x:is>
          <x:t xml:space="preserve">ROE</x:t>
        </x:is>
      </x:c>
      <x:c r="F74" s="18" t="n">
        <x:v>0.1</x:v>
      </x:c>
      <x:c r="G74" s="18" t="n">
        <x:v>0.22</x:v>
      </x:c>
      <x:c r="H74" s="17" t="inlineStr">
        <x:is>
          <x:t xml:space="preserve">%</x:t>
        </x:is>
      </x:c>
      <x:c r="I74" s="17" t="inlineStr">
        <x:is>
          <x:t xml:space="preserve">HIGH_GOOD</x:t>
        </x:is>
      </x:c>
      <x:c r="J74" s="15" t="inlineStr">
        <x:is>
          <x:t xml:space="preserve">https://www.banque-france.fr/fr/publications-et-statistiques/statistiques/fascicules-dindicateurs-sectoriels</x:t>
        </x:is>
      </x:c>
      <x:c r="K74" s="15" t="inlineStr">
        <x:is>
          <x:t xml:space="preserve">Repères génériques. À adapter selon taille/maturité; remplacez par médianes/quartiles sectoriels si disponibles.</x:t>
        </x:is>
      </x:c>
    </x:row>
    <x:row r="75">
      <x:c r="A75" s="17" t="inlineStr">
        <x:is>
          <x:t xml:space="preserve">France|Services|ROCE</x:t>
        </x:is>
      </x:c>
      <x:c r="B75" s="17" t="inlineStr">
        <x:is>
          <x:t xml:space="preserve">France</x:t>
        </x:is>
      </x:c>
      <x:c r="C75" s="17" t="inlineStr">
        <x:is>
          <x:t xml:space="preserve">Services</x:t>
        </x:is>
      </x:c>
      <x:c r="D75" s="17" t="inlineStr">
        <x:is>
          <x:t xml:space="preserve">ROCE</x:t>
        </x:is>
      </x:c>
      <x:c r="E75" s="17" t="inlineStr">
        <x:is>
          <x:t xml:space="preserve">ROCE</x:t>
        </x:is>
      </x:c>
      <x:c r="F75" s="18" t="n">
        <x:v>0.1</x:v>
      </x:c>
      <x:c r="G75" s="18" t="n">
        <x:v>0.25</x:v>
      </x:c>
      <x:c r="H75" s="17" t="inlineStr">
        <x:is>
          <x:t xml:space="preserve">%</x:t>
        </x:is>
      </x:c>
      <x:c r="I75" s="17" t="inlineStr">
        <x:is>
          <x:t xml:space="preserve">HIGH_GOOD</x:t>
        </x:is>
      </x:c>
      <x:c r="J75" s="15" t="inlineStr">
        <x:is>
          <x:t xml:space="preserve">https://www.banque-france.fr/fr/publications-et-statistiques/statistiques/fascicules-dindicateurs-sectoriels</x:t>
        </x:is>
      </x:c>
      <x:c r="K75" s="15" t="inlineStr">
        <x:is>
          <x:t xml:space="preserve">Repères génériques. À adapter selon taille/maturité; remplacez par médianes/quartiles sectoriels si disponibles.</x:t>
        </x:is>
      </x:c>
    </x:row>
    <x:row r="76">
      <x:c r="A76" s="17" t="inlineStr">
        <x:is>
          <x:t xml:space="preserve">France|SaaS|M_GROSS</x:t>
        </x:is>
      </x:c>
      <x:c r="B76" s="17" t="inlineStr">
        <x:is>
          <x:t xml:space="preserve">France</x:t>
        </x:is>
      </x:c>
      <x:c r="C76" s="17" t="inlineStr">
        <x:is>
          <x:t xml:space="preserve">SaaS</x:t>
        </x:is>
      </x:c>
      <x:c r="D76" s="17" t="inlineStr">
        <x:is>
          <x:t xml:space="preserve">M_GROSS</x:t>
        </x:is>
      </x:c>
      <x:c r="E76" s="17" t="inlineStr">
        <x:is>
          <x:t xml:space="preserve">Marge brute</x:t>
        </x:is>
      </x:c>
      <x:c r="F76" s="18" t="n">
        <x:v>0.7</x:v>
      </x:c>
      <x:c r="G76" s="18" t="n">
        <x:v>0.9</x:v>
      </x:c>
      <x:c r="H76" s="17" t="inlineStr">
        <x:is>
          <x:t xml:space="preserve">%</x:t>
        </x:is>
      </x:c>
      <x:c r="I76" s="17" t="inlineStr">
        <x:is>
          <x:t xml:space="preserve">HIGH_GOOD</x:t>
        </x:is>
      </x:c>
      <x:c r="J76" s="15" t="inlineStr">
        <x:is>
          <x:t xml:space="preserve">https://www.banque-france.fr/fr/publications-et-statistiques/statistiques/fascicules-dindicateurs-sectoriels</x:t>
        </x:is>
      </x:c>
      <x:c r="K76" s="15" t="inlineStr">
        <x:is>
          <x:t xml:space="preserve">Repères génériques. À adapter selon taille/maturité; remplacez par médianes/quartiles sectoriels si disponibles.</x:t>
        </x:is>
      </x:c>
    </x:row>
    <x:row r="77">
      <x:c r="A77" s="17" t="inlineStr">
        <x:is>
          <x:t xml:space="preserve">France|SaaS|M_EBITDA</x:t>
        </x:is>
      </x:c>
      <x:c r="B77" s="17" t="inlineStr">
        <x:is>
          <x:t xml:space="preserve">France</x:t>
        </x:is>
      </x:c>
      <x:c r="C77" s="17" t="inlineStr">
        <x:is>
          <x:t xml:space="preserve">SaaS</x:t>
        </x:is>
      </x:c>
      <x:c r="D77" s="17" t="inlineStr">
        <x:is>
          <x:t xml:space="preserve">M_EBITDA</x:t>
        </x:is>
      </x:c>
      <x:c r="E77" s="17" t="inlineStr">
        <x:is>
          <x:t xml:space="preserve">Marge EBITDA</x:t>
        </x:is>
      </x:c>
      <x:c r="F77" s="18" t="n">
        <x:v>0</x:v>
      </x:c>
      <x:c r="G77" s="18" t="n">
        <x:v>0.3</x:v>
      </x:c>
      <x:c r="H77" s="17" t="inlineStr">
        <x:is>
          <x:t xml:space="preserve">%</x:t>
        </x:is>
      </x:c>
      <x:c r="I77" s="17" t="inlineStr">
        <x:is>
          <x:t xml:space="preserve">HIGH_GOOD</x:t>
        </x:is>
      </x:c>
      <x:c r="J77" s="15" t="inlineStr">
        <x:is>
          <x:t xml:space="preserve">https://www.banque-france.fr/fr/publications-et-statistiques/statistiques/fascicules-dindicateurs-sectoriels</x:t>
        </x:is>
      </x:c>
      <x:c r="K77" s="15" t="inlineStr">
        <x:is>
          <x:t xml:space="preserve">Repères génériques. À adapter selon taille/maturité; remplacez par médianes/quartiles sectoriels si disponibles.</x:t>
        </x:is>
      </x:c>
    </x:row>
    <x:row r="78">
      <x:c r="A78" s="17" t="inlineStr">
        <x:is>
          <x:t xml:space="preserve">France|SaaS|M_EBIT</x:t>
        </x:is>
      </x:c>
      <x:c r="B78" s="17" t="inlineStr">
        <x:is>
          <x:t xml:space="preserve">France</x:t>
        </x:is>
      </x:c>
      <x:c r="C78" s="17" t="inlineStr">
        <x:is>
          <x:t xml:space="preserve">SaaS</x:t>
        </x:is>
      </x:c>
      <x:c r="D78" s="17" t="inlineStr">
        <x:is>
          <x:t xml:space="preserve">M_EBIT</x:t>
        </x:is>
      </x:c>
      <x:c r="E78" s="17" t="inlineStr">
        <x:is>
          <x:t xml:space="preserve">Marge EBIT</x:t>
        </x:is>
      </x:c>
      <x:c r="F78" s="18" t="n">
        <x:v>-0.05</x:v>
      </x:c>
      <x:c r="G78" s="18" t="n">
        <x:v>0.2</x:v>
      </x:c>
      <x:c r="H78" s="17" t="inlineStr">
        <x:is>
          <x:t xml:space="preserve">%</x:t>
        </x:is>
      </x:c>
      <x:c r="I78" s="17" t="inlineStr">
        <x:is>
          <x:t xml:space="preserve">HIGH_GOOD</x:t>
        </x:is>
      </x:c>
      <x:c r="J78" s="15" t="inlineStr">
        <x:is>
          <x:t xml:space="preserve">https://www.banque-france.fr/fr/publications-et-statistiques/statistiques/fascicules-dindicateurs-sectoriels</x:t>
        </x:is>
      </x:c>
      <x:c r="K78" s="15" t="inlineStr">
        <x:is>
          <x:t xml:space="preserve">Repères génériques. À adapter selon taille/maturité; remplacez par médianes/quartiles sectoriels si disponibles.</x:t>
        </x:is>
      </x:c>
    </x:row>
    <x:row r="79">
      <x:c r="A79" s="17" t="inlineStr">
        <x:is>
          <x:t xml:space="preserve">France|SaaS|M_NET</x:t>
        </x:is>
      </x:c>
      <x:c r="B79" s="17" t="inlineStr">
        <x:is>
          <x:t xml:space="preserve">France</x:t>
        </x:is>
      </x:c>
      <x:c r="C79" s="17" t="inlineStr">
        <x:is>
          <x:t xml:space="preserve">SaaS</x:t>
        </x:is>
      </x:c>
      <x:c r="D79" s="17" t="inlineStr">
        <x:is>
          <x:t xml:space="preserve">M_NET</x:t>
        </x:is>
      </x:c>
      <x:c r="E79" s="17" t="inlineStr">
        <x:is>
          <x:t xml:space="preserve">Marge nette</x:t>
        </x:is>
      </x:c>
      <x:c r="F79" s="18" t="n">
        <x:v>-0.1</x:v>
      </x:c>
      <x:c r="G79" s="18" t="n">
        <x:v>0.15</x:v>
      </x:c>
      <x:c r="H79" s="17" t="inlineStr">
        <x:is>
          <x:t xml:space="preserve">%</x:t>
        </x:is>
      </x:c>
      <x:c r="I79" s="17" t="inlineStr">
        <x:is>
          <x:t xml:space="preserve">HIGH_GOOD</x:t>
        </x:is>
      </x:c>
      <x:c r="J79" s="15" t="inlineStr">
        <x:is>
          <x:t xml:space="preserve">https://www.banque-france.fr/fr/publications-et-statistiques/statistiques/fascicules-dindicateurs-sectoriels</x:t>
        </x:is>
      </x:c>
      <x:c r="K79" s="15" t="inlineStr">
        <x:is>
          <x:t xml:space="preserve">Repères génériques. À adapter selon taille/maturité; remplacez par médianes/quartiles sectoriels si disponibles.</x:t>
        </x:is>
      </x:c>
    </x:row>
    <x:row r="80">
      <x:c r="A80" s="17" t="inlineStr">
        <x:is>
          <x:t xml:space="preserve">France|SaaS|G_REV</x:t>
        </x:is>
      </x:c>
      <x:c r="B80" s="17" t="inlineStr">
        <x:is>
          <x:t xml:space="preserve">France</x:t>
        </x:is>
      </x:c>
      <x:c r="C80" s="17" t="inlineStr">
        <x:is>
          <x:t xml:space="preserve">SaaS</x:t>
        </x:is>
      </x:c>
      <x:c r="D80" s="17" t="inlineStr">
        <x:is>
          <x:t xml:space="preserve">G_REV</x:t>
        </x:is>
      </x:c>
      <x:c r="E80" s="17" t="inlineStr">
        <x:is>
          <x:t xml:space="preserve">Croissance CA</x:t>
        </x:is>
      </x:c>
      <x:c r="F80" s="18" t="n">
        <x:v>0.05</x:v>
      </x:c>
      <x:c r="G80" s="18" t="n">
        <x:v>0.4</x:v>
      </x:c>
      <x:c r="H80" s="17" t="inlineStr">
        <x:is>
          <x:t xml:space="preserve">%</x:t>
        </x:is>
      </x:c>
      <x:c r="I80" s="17" t="inlineStr">
        <x:is>
          <x:t xml:space="preserve">HIGH_GOOD</x:t>
        </x:is>
      </x:c>
      <x:c r="J80" s="15" t="inlineStr">
        <x:is>
          <x:t xml:space="preserve">https://www.banque-france.fr/fr/publications-et-statistiques/statistiques/fascicules-dindicateurs-sectoriels</x:t>
        </x:is>
      </x:c>
      <x:c r="K80" s="15" t="inlineStr">
        <x:is>
          <x:t xml:space="preserve">Repères génériques. À adapter selon taille/maturité; remplacez par médianes/quartiles sectoriels si disponibles.</x:t>
        </x:is>
      </x:c>
    </x:row>
    <x:row r="81">
      <x:c r="A81" s="17" t="inlineStr">
        <x:is>
          <x:t xml:space="preserve">France|SaaS|G_NI</x:t>
        </x:is>
      </x:c>
      <x:c r="B81" s="17" t="inlineStr">
        <x:is>
          <x:t xml:space="preserve">France</x:t>
        </x:is>
      </x:c>
      <x:c r="C81" s="17" t="inlineStr">
        <x:is>
          <x:t xml:space="preserve">SaaS</x:t>
        </x:is>
      </x:c>
      <x:c r="D81" s="17" t="inlineStr">
        <x:is>
          <x:t xml:space="preserve">G_NI</x:t>
        </x:is>
      </x:c>
      <x:c r="E81" s="17" t="inlineStr">
        <x:is>
          <x:t xml:space="preserve">Croissance RN</x:t>
        </x:is>
      </x:c>
      <x:c r="F81" s="18" t="n">
        <x:v>-0.2</x:v>
      </x:c>
      <x:c r="G81" s="18" t="n">
        <x:v>0.3</x:v>
      </x:c>
      <x:c r="H81" s="17" t="inlineStr">
        <x:is>
          <x:t xml:space="preserve">%</x:t>
        </x:is>
      </x:c>
      <x:c r="I81" s="17" t="inlineStr">
        <x:is>
          <x:t xml:space="preserve">HIGH_GOOD</x:t>
        </x:is>
      </x:c>
      <x:c r="J81" s="15" t="inlineStr">
        <x:is>
          <x:t xml:space="preserve">https://www.banque-france.fr/fr/publications-et-statistiques/statistiques/fascicules-dindicateurs-sectoriels</x:t>
        </x:is>
      </x:c>
      <x:c r="K81" s="15" t="inlineStr">
        <x:is>
          <x:t xml:space="preserve">Repères génériques. À adapter selon taille/maturité; remplacez par médianes/quartiles sectoriels si disponibles.</x:t>
        </x:is>
      </x:c>
    </x:row>
    <x:row r="82">
      <x:c r="A82" s="17" t="inlineStr">
        <x:is>
          <x:t xml:space="preserve">France|SaaS|D_INV</x:t>
        </x:is>
      </x:c>
      <x:c r="B82" s="17" t="inlineStr">
        <x:is>
          <x:t xml:space="preserve">France</x:t>
        </x:is>
      </x:c>
      <x:c r="C82" s="17" t="inlineStr">
        <x:is>
          <x:t xml:space="preserve">SaaS</x:t>
        </x:is>
      </x:c>
      <x:c r="D82" s="17" t="inlineStr">
        <x:is>
          <x:t xml:space="preserve">D_INV</x:t>
        </x:is>
      </x:c>
      <x:c r="E82" s="17" t="inlineStr">
        <x:is>
          <x:t xml:space="preserve">Jours de stocks</x:t>
        </x:is>
      </x:c>
      <x:c r="F82" s="26" t="n">
        <x:v>0</x:v>
      </x:c>
      <x:c r="G82" s="26" t="n">
        <x:v>5</x:v>
      </x:c>
      <x:c r="H82" s="17" t="inlineStr">
        <x:is>
          <x:t xml:space="preserve">jours</x:t>
        </x:is>
      </x:c>
      <x:c r="I82" s="17" t="inlineStr">
        <x:is>
          <x:t xml:space="preserve">LOW_GOOD</x:t>
        </x:is>
      </x:c>
      <x:c r="J82" s="15" t="inlineStr">
        <x:is>
          <x:t xml:space="preserve">https://www.banque-france.fr/fr/publications-et-statistiques/statistiques/fascicules-dindicateurs-sectoriels</x:t>
        </x:is>
      </x:c>
      <x:c r="K82" s="15" t="inlineStr">
        <x:is>
          <x:t xml:space="preserve">Repères génériques. À adapter selon taille/maturité; remplacez par médianes/quartiles sectoriels si disponibles.</x:t>
        </x:is>
      </x:c>
    </x:row>
    <x:row r="83">
      <x:c r="A83" s="17" t="inlineStr">
        <x:is>
          <x:t xml:space="preserve">France|SaaS|DSO</x:t>
        </x:is>
      </x:c>
      <x:c r="B83" s="17" t="inlineStr">
        <x:is>
          <x:t xml:space="preserve">France</x:t>
        </x:is>
      </x:c>
      <x:c r="C83" s="17" t="inlineStr">
        <x:is>
          <x:t xml:space="preserve">SaaS</x:t>
        </x:is>
      </x:c>
      <x:c r="D83" s="17" t="inlineStr">
        <x:is>
          <x:t xml:space="preserve">DSO</x:t>
        </x:is>
      </x:c>
      <x:c r="E83" s="17" t="inlineStr">
        <x:is>
          <x:t xml:space="preserve">DSO (jours clients)</x:t>
        </x:is>
      </x:c>
      <x:c r="F83" s="26" t="n">
        <x:v>30</x:v>
      </x:c>
      <x:c r="G83" s="26" t="n">
        <x:v>75</x:v>
      </x:c>
      <x:c r="H83" s="17" t="inlineStr">
        <x:is>
          <x:t xml:space="preserve">jours</x:t>
        </x:is>
      </x:c>
      <x:c r="I83" s="17" t="inlineStr">
        <x:is>
          <x:t xml:space="preserve">LOW_GOOD</x:t>
        </x:is>
      </x:c>
      <x:c r="J83" s="15" t="inlineStr">
        <x:is>
          <x:t xml:space="preserve">https://www.banque-france.fr/fr/publications-et-statistiques/statistiques/fascicules-dindicateurs-sectoriels</x:t>
        </x:is>
      </x:c>
      <x:c r="K83" s="15" t="inlineStr">
        <x:is>
          <x:t xml:space="preserve">Repère. Délais B2B encadrés (max ~60 jours sauf accords).</x:t>
        </x:is>
      </x:c>
    </x:row>
    <x:row r="84">
      <x:c r="A84" s="17" t="inlineStr">
        <x:is>
          <x:t xml:space="preserve">France|SaaS|DPO</x:t>
        </x:is>
      </x:c>
      <x:c r="B84" s="17" t="inlineStr">
        <x:is>
          <x:t xml:space="preserve">France</x:t>
        </x:is>
      </x:c>
      <x:c r="C84" s="17" t="inlineStr">
        <x:is>
          <x:t xml:space="preserve">SaaS</x:t>
        </x:is>
      </x:c>
      <x:c r="D84" s="17" t="inlineStr">
        <x:is>
          <x:t xml:space="preserve">DPO</x:t>
        </x:is>
      </x:c>
      <x:c r="E84" s="17" t="inlineStr">
        <x:is>
          <x:t xml:space="preserve">DPO (jours fournisseurs)</x:t>
        </x:is>
      </x:c>
      <x:c r="F84" s="26" t="n">
        <x:v>30</x:v>
      </x:c>
      <x:c r="G84" s="26" t="n">
        <x:v>90</x:v>
      </x:c>
      <x:c r="H84" s="17" t="inlineStr">
        <x:is>
          <x:t xml:space="preserve">jours</x:t>
        </x:is>
      </x:c>
      <x:c r="I84" s="17" t="inlineStr">
        <x:is>
          <x:t xml:space="preserve">RANGE</x:t>
        </x:is>
      </x:c>
      <x:c r="J84" s="15" t="inlineStr">
        <x:is>
          <x:t xml:space="preserve">https://www.banque-france.fr/fr/publications-et-statistiques/statistiques/fascicules-dindicateurs-sectoriels</x:t>
        </x:is>
      </x:c>
      <x:c r="K84" s="15" t="inlineStr">
        <x:is>
          <x:t xml:space="preserve">Repère. Délais B2B encadrés (max ~60 jours sauf accords).</x:t>
        </x:is>
      </x:c>
    </x:row>
    <x:row r="85">
      <x:c r="A85" s="17" t="inlineStr">
        <x:is>
          <x:t xml:space="preserve">France|SaaS|CCC</x:t>
        </x:is>
      </x:c>
      <x:c r="B85" s="17" t="inlineStr">
        <x:is>
          <x:t xml:space="preserve">France</x:t>
        </x:is>
      </x:c>
      <x:c r="C85" s="17" t="inlineStr">
        <x:is>
          <x:t xml:space="preserve">SaaS</x:t>
        </x:is>
      </x:c>
      <x:c r="D85" s="17" t="inlineStr">
        <x:is>
          <x:t xml:space="preserve">CCC</x:t>
        </x:is>
      </x:c>
      <x:c r="E85" s="17" t="inlineStr">
        <x:is>
          <x:t xml:space="preserve">Cycle de conversion cash (jours)</x:t>
        </x:is>
      </x:c>
      <x:c r="F85" s="26" t="n">
        <x:v>-30</x:v>
      </x:c>
      <x:c r="G85" s="26" t="n">
        <x:v>30</x:v>
      </x:c>
      <x:c r="H85" s="17" t="inlineStr">
        <x:is>
          <x:t xml:space="preserve">jours</x:t>
        </x:is>
      </x:c>
      <x:c r="I85" s="17" t="inlineStr">
        <x:is>
          <x:t xml:space="preserve">LOW_GOOD</x:t>
        </x:is>
      </x:c>
      <x:c r="J85" s="15" t="inlineStr">
        <x:is>
          <x:t xml:space="preserve">https://www.banque-france.fr/fr/publications-et-statistiques/statistiques/fascicules-dindicateurs-sectoriels</x:t>
        </x:is>
      </x:c>
      <x:c r="K85" s="15" t="inlineStr">
        <x:is>
          <x:t xml:space="preserve">Repères génériques. À adapter selon taille/maturité; remplacez par médianes/quartiles sectoriels si disponibles.</x:t>
        </x:is>
      </x:c>
    </x:row>
    <x:row r="86">
      <x:c r="A86" s="17" t="inlineStr">
        <x:is>
          <x:t xml:space="preserve">France|SaaS|BFR_REV</x:t>
        </x:is>
      </x:c>
      <x:c r="B86" s="17" t="inlineStr">
        <x:is>
          <x:t xml:space="preserve">France</x:t>
        </x:is>
      </x:c>
      <x:c r="C86" s="17" t="inlineStr">
        <x:is>
          <x:t xml:space="preserve">SaaS</x:t>
        </x:is>
      </x:c>
      <x:c r="D86" s="17" t="inlineStr">
        <x:is>
          <x:t xml:space="preserve">BFR_REV</x:t>
        </x:is>
      </x:c>
      <x:c r="E86" s="17" t="inlineStr">
        <x:is>
          <x:t xml:space="preserve">BFR / CA</x:t>
        </x:is>
      </x:c>
      <x:c r="F86" s="18" t="n">
        <x:v>-0.1</x:v>
      </x:c>
      <x:c r="G86" s="18" t="n">
        <x:v>0.15</x:v>
      </x:c>
      <x:c r="H86" s="17" t="inlineStr">
        <x:is>
          <x:t xml:space="preserve">%</x:t>
        </x:is>
      </x:c>
      <x:c r="I86" s="17" t="inlineStr">
        <x:is>
          <x:t xml:space="preserve">RANGE</x:t>
        </x:is>
      </x:c>
      <x:c r="J86" s="15" t="inlineStr">
        <x:is>
          <x:t xml:space="preserve">https://www.banque-france.fr/fr/publications-et-statistiques/statistiques/fascicules-dindicateurs-sectoriels</x:t>
        </x:is>
      </x:c>
      <x:c r="K86" s="15" t="inlineStr">
        <x:is>
          <x:t xml:space="preserve">Repères génériques. À adapter selon taille/maturité; remplacez par médianes/quartiles sectoriels si disponibles.</x:t>
        </x:is>
      </x:c>
    </x:row>
    <x:row r="87">
      <x:c r="A87" s="17" t="inlineStr">
        <x:is>
          <x:t xml:space="preserve">France|SaaS|EQ_RATIO</x:t>
        </x:is>
      </x:c>
      <x:c r="B87" s="17" t="inlineStr">
        <x:is>
          <x:t xml:space="preserve">France</x:t>
        </x:is>
      </x:c>
      <x:c r="C87" s="17" t="inlineStr">
        <x:is>
          <x:t xml:space="preserve">SaaS</x:t>
        </x:is>
      </x:c>
      <x:c r="D87" s="17" t="inlineStr">
        <x:is>
          <x:t xml:space="preserve">EQ_RATIO</x:t>
        </x:is>
      </x:c>
      <x:c r="E87" s="17" t="inlineStr">
        <x:is>
          <x:t xml:space="preserve">Autonomie financière (CP/Total bilan)</x:t>
        </x:is>
      </x:c>
      <x:c r="F87" s="18" t="n">
        <x:v>0.35</x:v>
      </x:c>
      <x:c r="G87" s="18" t="n">
        <x:v>0.8</x:v>
      </x:c>
      <x:c r="H87" s="17" t="inlineStr">
        <x:is>
          <x:t xml:space="preserve">%</x:t>
        </x:is>
      </x:c>
      <x:c r="I87" s="17" t="inlineStr">
        <x:is>
          <x:t xml:space="preserve">HIGH_GOOD</x:t>
        </x:is>
      </x:c>
      <x:c r="J87" s="15" t="inlineStr">
        <x:is>
          <x:t xml:space="preserve">https://www.banque-france.fr/fr/publications-et-statistiques/statistiques/fascicules-dindicateurs-sectoriels</x:t>
        </x:is>
      </x:c>
      <x:c r="K87" s="15" t="inlineStr">
        <x:is>
          <x:t xml:space="preserve">Repères génériques. À adapter selon taille/maturité; remplacez par médianes/quartiles sectoriels si disponibles.</x:t>
        </x:is>
      </x:c>
    </x:row>
    <x:row r="88">
      <x:c r="A88" s="17" t="inlineStr">
        <x:is>
          <x:t xml:space="preserve">France|SaaS|GEARING</x:t>
        </x:is>
      </x:c>
      <x:c r="B88" s="17" t="inlineStr">
        <x:is>
          <x:t xml:space="preserve">France</x:t>
        </x:is>
      </x:c>
      <x:c r="C88" s="17" t="inlineStr">
        <x:is>
          <x:t xml:space="preserve">SaaS</x:t>
        </x:is>
      </x:c>
      <x:c r="D88" s="17" t="inlineStr">
        <x:is>
          <x:t xml:space="preserve">GEARING</x:t>
        </x:is>
      </x:c>
      <x:c r="E88" s="17" t="inlineStr">
        <x:is>
          <x:t xml:space="preserve">Gearing (Dette nette/CP)</x:t>
        </x:is>
      </x:c>
      <x:c r="F88" s="20" t="n">
        <x:v>0</x:v>
      </x:c>
      <x:c r="G88" s="20" t="n">
        <x:v>0.6</x:v>
      </x:c>
      <x:c r="H88" s="17" t="inlineStr">
        <x:is>
          <x:t xml:space="preserve">x</x:t>
        </x:is>
      </x:c>
      <x:c r="I88" s="17" t="inlineStr">
        <x:is>
          <x:t xml:space="preserve">LOW_GOOD</x:t>
        </x:is>
      </x:c>
      <x:c r="J88" s="15" t="inlineStr">
        <x:is>
          <x:t xml:space="preserve">https://www.banque-france.fr/fr/publications-et-statistiques/statistiques/fascicules-dindicateurs-sectoriels</x:t>
        </x:is>
      </x:c>
      <x:c r="K88" s="15" t="inlineStr">
        <x:is>
          <x:t xml:space="preserve">Repères génériques. À adapter selon taille/maturité; remplacez par médianes/quartiles sectoriels si disponibles.</x:t>
        </x:is>
      </x:c>
    </x:row>
    <x:row r="89">
      <x:c r="A89" s="17" t="inlineStr">
        <x:is>
          <x:t xml:space="preserve">France|SaaS|CURR</x:t>
        </x:is>
      </x:c>
      <x:c r="B89" s="17" t="inlineStr">
        <x:is>
          <x:t xml:space="preserve">France</x:t>
        </x:is>
      </x:c>
      <x:c r="C89" s="17" t="inlineStr">
        <x:is>
          <x:t xml:space="preserve">SaaS</x:t>
        </x:is>
      </x:c>
      <x:c r="D89" s="17" t="inlineStr">
        <x:is>
          <x:t xml:space="preserve">CURR</x:t>
        </x:is>
      </x:c>
      <x:c r="E89" s="17" t="inlineStr">
        <x:is>
          <x:t xml:space="preserve">Current ratio</x:t>
        </x:is>
      </x:c>
      <x:c r="F89" s="20" t="n">
        <x:v>1.5</x:v>
      </x:c>
      <x:c r="G89" s="20" t="n">
        <x:v>3.5</x:v>
      </x:c>
      <x:c r="H89" s="17" t="inlineStr">
        <x:is>
          <x:t xml:space="preserve">x</x:t>
        </x:is>
      </x:c>
      <x:c r="I89" s="17" t="inlineStr">
        <x:is>
          <x:t xml:space="preserve">RANGE</x:t>
        </x:is>
      </x:c>
      <x:c r="J89" s="15" t="inlineStr">
        <x:is>
          <x:t xml:space="preserve">https://www.banque-france.fr/fr/publications-et-statistiques/statistiques/fascicules-dindicateurs-sectoriels</x:t>
        </x:is>
      </x:c>
      <x:c r="K89" s="15" t="inlineStr">
        <x:is>
          <x:t xml:space="preserve">Repères génériques. À adapter selon taille/maturité; remplacez par médianes/quartiles sectoriels si disponibles.</x:t>
        </x:is>
      </x:c>
    </x:row>
    <x:row r="90">
      <x:c r="A90" s="17" t="inlineStr">
        <x:is>
          <x:t xml:space="preserve">France|SaaS|QUICK</x:t>
        </x:is>
      </x:c>
      <x:c r="B90" s="17" t="inlineStr">
        <x:is>
          <x:t xml:space="preserve">France</x:t>
        </x:is>
      </x:c>
      <x:c r="C90" s="17" t="inlineStr">
        <x:is>
          <x:t xml:space="preserve">SaaS</x:t>
        </x:is>
      </x:c>
      <x:c r="D90" s="17" t="inlineStr">
        <x:is>
          <x:t xml:space="preserve">QUICK</x:t>
        </x:is>
      </x:c>
      <x:c r="E90" s="17" t="inlineStr">
        <x:is>
          <x:t xml:space="preserve">Quick ratio</x:t>
        </x:is>
      </x:c>
      <x:c r="F90" s="20" t="n">
        <x:v>1.3</x:v>
      </x:c>
      <x:c r="G90" s="20" t="n">
        <x:v>3</x:v>
      </x:c>
      <x:c r="H90" s="17" t="inlineStr">
        <x:is>
          <x:t xml:space="preserve">x</x:t>
        </x:is>
      </x:c>
      <x:c r="I90" s="17" t="inlineStr">
        <x:is>
          <x:t xml:space="preserve">RANGE</x:t>
        </x:is>
      </x:c>
      <x:c r="J90" s="15" t="inlineStr">
        <x:is>
          <x:t xml:space="preserve">https://www.banque-france.fr/fr/publications-et-statistiques/statistiques/fascicules-dindicateurs-sectoriels</x:t>
        </x:is>
      </x:c>
      <x:c r="K90" s="15" t="inlineStr">
        <x:is>
          <x:t xml:space="preserve">Repères génériques. À adapter selon taille/maturité; remplacez par médianes/quartiles sectoriels si disponibles.</x:t>
        </x:is>
      </x:c>
    </x:row>
    <x:row r="91">
      <x:c r="A91" s="17" t="inlineStr">
        <x:is>
          <x:t xml:space="preserve">France|SaaS|CASHR</x:t>
        </x:is>
      </x:c>
      <x:c r="B91" s="17" t="inlineStr">
        <x:is>
          <x:t xml:space="preserve">France</x:t>
        </x:is>
      </x:c>
      <x:c r="C91" s="17" t="inlineStr">
        <x:is>
          <x:t xml:space="preserve">SaaS</x:t>
        </x:is>
      </x:c>
      <x:c r="D91" s="17" t="inlineStr">
        <x:is>
          <x:t xml:space="preserve">CASHR</x:t>
        </x:is>
      </x:c>
      <x:c r="E91" s="17" t="inlineStr">
        <x:is>
          <x:t xml:space="preserve">Cash ratio</x:t>
        </x:is>
      </x:c>
      <x:c r="F91" s="20" t="n">
        <x:v>0.3</x:v>
      </x:c>
      <x:c r="G91" s="20" t="n">
        <x:v>1.5</x:v>
      </x:c>
      <x:c r="H91" s="17" t="inlineStr">
        <x:is>
          <x:t xml:space="preserve">x</x:t>
        </x:is>
      </x:c>
      <x:c r="I91" s="17" t="inlineStr">
        <x:is>
          <x:t xml:space="preserve">RANGE</x:t>
        </x:is>
      </x:c>
      <x:c r="J91" s="15" t="inlineStr">
        <x:is>
          <x:t xml:space="preserve">https://www.banque-france.fr/fr/publications-et-statistiques/statistiques/fascicules-dindicateurs-sectoriels</x:t>
        </x:is>
      </x:c>
      <x:c r="K91" s="15" t="inlineStr">
        <x:is>
          <x:t xml:space="preserve">Repères génériques. À adapter selon taille/maturité; remplacez par médianes/quartiles sectoriels si disponibles.</x:t>
        </x:is>
      </x:c>
    </x:row>
    <x:row r="92">
      <x:c r="A92" s="17" t="inlineStr">
        <x:is>
          <x:t xml:space="preserve">France|SaaS|ND_EBITDA</x:t>
        </x:is>
      </x:c>
      <x:c r="B92" s="17" t="inlineStr">
        <x:is>
          <x:t xml:space="preserve">France</x:t>
        </x:is>
      </x:c>
      <x:c r="C92" s="17" t="inlineStr">
        <x:is>
          <x:t xml:space="preserve">SaaS</x:t>
        </x:is>
      </x:c>
      <x:c r="D92" s="17" t="inlineStr">
        <x:is>
          <x:t xml:space="preserve">ND_EBITDA</x:t>
        </x:is>
      </x:c>
      <x:c r="E92" s="17" t="inlineStr">
        <x:is>
          <x:t xml:space="preserve">Dette nette / EBITDA</x:t>
        </x:is>
      </x:c>
      <x:c r="F92" s="20" t="n">
        <x:v>0</x:v>
      </x:c>
      <x:c r="G92" s="20" t="n">
        <x:v>2.5</x:v>
      </x:c>
      <x:c r="H92" s="17" t="inlineStr">
        <x:is>
          <x:t xml:space="preserve">x</x:t>
        </x:is>
      </x:c>
      <x:c r="I92" s="17" t="inlineStr">
        <x:is>
          <x:t xml:space="preserve">LOW_GOOD</x:t>
        </x:is>
      </x:c>
      <x:c r="J92" s="15" t="inlineStr">
        <x:is>
          <x:t xml:space="preserve">https://www.banque-france.fr/fr/publications-et-statistiques/statistiques/fascicules-dindicateurs-sectoriels</x:t>
        </x:is>
      </x:c>
      <x:c r="K92" s="15" t="inlineStr">
        <x:is>
          <x:t xml:space="preserve">Repères génériques. À adapter selon taille/maturité; remplacez par médianes/quartiles sectoriels si disponibles.</x:t>
        </x:is>
      </x:c>
    </x:row>
    <x:row r="93">
      <x:c r="A93" s="17" t="inlineStr">
        <x:is>
          <x:t xml:space="preserve">France|SaaS|D_E</x:t>
        </x:is>
      </x:c>
      <x:c r="B93" s="17" t="inlineStr">
        <x:is>
          <x:t xml:space="preserve">France</x:t>
        </x:is>
      </x:c>
      <x:c r="C93" s="17" t="inlineStr">
        <x:is>
          <x:t xml:space="preserve">SaaS</x:t>
        </x:is>
      </x:c>
      <x:c r="D93" s="17" t="inlineStr">
        <x:is>
          <x:t xml:space="preserve">D_E</x:t>
        </x:is>
      </x:c>
      <x:c r="E93" s="17" t="inlineStr">
        <x:is>
          <x:t xml:space="preserve">Dette / CP</x:t>
        </x:is>
      </x:c>
      <x:c r="F93" s="20" t="n">
        <x:v>0</x:v>
      </x:c>
      <x:c r="G93" s="20" t="n">
        <x:v>1</x:v>
      </x:c>
      <x:c r="H93" s="17" t="inlineStr">
        <x:is>
          <x:t xml:space="preserve">x</x:t>
        </x:is>
      </x:c>
      <x:c r="I93" s="17" t="inlineStr">
        <x:is>
          <x:t xml:space="preserve">LOW_GOOD</x:t>
        </x:is>
      </x:c>
      <x:c r="J93" s="15" t="inlineStr">
        <x:is>
          <x:t xml:space="preserve">https://www.banque-france.fr/fr/publications-et-statistiques/statistiques/fascicules-dindicateurs-sectoriels</x:t>
        </x:is>
      </x:c>
      <x:c r="K93" s="15" t="inlineStr">
        <x:is>
          <x:t xml:space="preserve">Repères génériques. À adapter selon taille/maturité; remplacez par médianes/quartiles sectoriels si disponibles.</x:t>
        </x:is>
      </x:c>
    </x:row>
    <x:row r="94">
      <x:c r="A94" s="17" t="inlineStr">
        <x:is>
          <x:t xml:space="preserve">France|SaaS|ICR</x:t>
        </x:is>
      </x:c>
      <x:c r="B94" s="17" t="inlineStr">
        <x:is>
          <x:t xml:space="preserve">France</x:t>
        </x:is>
      </x:c>
      <x:c r="C94" s="17" t="inlineStr">
        <x:is>
          <x:t xml:space="preserve">SaaS</x:t>
        </x:is>
      </x:c>
      <x:c r="D94" s="17" t="inlineStr">
        <x:is>
          <x:t xml:space="preserve">ICR</x:t>
        </x:is>
      </x:c>
      <x:c r="E94" s="17" t="inlineStr">
        <x:is>
          <x:t xml:space="preserve">Couverture intérêts (EBIT/Intérêts)</x:t>
        </x:is>
      </x:c>
      <x:c r="F94" s="20" t="n">
        <x:v>4</x:v>
      </x:c>
      <x:c r="G94" s="20" t="n">
        <x:v>20</x:v>
      </x:c>
      <x:c r="H94" s="17" t="inlineStr">
        <x:is>
          <x:t xml:space="preserve">x</x:t>
        </x:is>
      </x:c>
      <x:c r="I94" s="17" t="inlineStr">
        <x:is>
          <x:t xml:space="preserve">HIGH_GOOD</x:t>
        </x:is>
      </x:c>
      <x:c r="J94" s="15" t="inlineStr">
        <x:is>
          <x:t xml:space="preserve">https://www.banque-france.fr/fr/publications-et-statistiques/statistiques/fascicules-dindicateurs-sectoriels</x:t>
        </x:is>
      </x:c>
      <x:c r="K94" s="15" t="inlineStr">
        <x:is>
          <x:t xml:space="preserve">Repères génériques. À adapter selon taille/maturité; remplacez par médianes/quartiles sectoriels si disponibles.</x:t>
        </x:is>
      </x:c>
    </x:row>
    <x:row r="95">
      <x:c r="A95" s="17" t="inlineStr">
        <x:is>
          <x:t xml:space="preserve">France|SaaS|DSCR</x:t>
        </x:is>
      </x:c>
      <x:c r="B95" s="17" t="inlineStr">
        <x:is>
          <x:t xml:space="preserve">France</x:t>
        </x:is>
      </x:c>
      <x:c r="C95" s="17" t="inlineStr">
        <x:is>
          <x:t xml:space="preserve">SaaS</x:t>
        </x:is>
      </x:c>
      <x:c r="D95" s="17" t="inlineStr">
        <x:is>
          <x:t xml:space="preserve">DSCR</x:t>
        </x:is>
      </x:c>
      <x:c r="E95" s="17" t="inlineStr">
        <x:is>
          <x:t xml:space="preserve">DSCR</x:t>
        </x:is>
      </x:c>
      <x:c r="F95" s="20" t="n">
        <x:v>1.3</x:v>
      </x:c>
      <x:c r="G95" s="20" t="n">
        <x:v>4</x:v>
      </x:c>
      <x:c r="H95" s="17" t="inlineStr">
        <x:is>
          <x:t xml:space="preserve">x</x:t>
        </x:is>
      </x:c>
      <x:c r="I95" s="17" t="inlineStr">
        <x:is>
          <x:t xml:space="preserve">HIGH_GOOD</x:t>
        </x:is>
      </x:c>
      <x:c r="J95" s="15" t="inlineStr">
        <x:is>
          <x:t xml:space="preserve">https://www.banque-france.fr/fr/publications-et-statistiques/statistiques/fascicules-dindicateurs-sectoriels</x:t>
        </x:is>
      </x:c>
      <x:c r="K95" s="15" t="inlineStr">
        <x:is>
          <x:t xml:space="preserve">Repères génériques. À adapter selon taille/maturité; remplacez par médianes/quartiles sectoriels si disponibles.</x:t>
        </x:is>
      </x:c>
    </x:row>
    <x:row r="96">
      <x:c r="A96" s="17" t="inlineStr">
        <x:is>
          <x:t xml:space="preserve">France|SaaS|CFO_NI</x:t>
        </x:is>
      </x:c>
      <x:c r="B96" s="17" t="inlineStr">
        <x:is>
          <x:t xml:space="preserve">France</x:t>
        </x:is>
      </x:c>
      <x:c r="C96" s="17" t="inlineStr">
        <x:is>
          <x:t xml:space="preserve">SaaS</x:t>
        </x:is>
      </x:c>
      <x:c r="D96" s="17" t="inlineStr">
        <x:is>
          <x:t xml:space="preserve">CFO_NI</x:t>
        </x:is>
      </x:c>
      <x:c r="E96" s="17" t="inlineStr">
        <x:is>
          <x:t xml:space="preserve">CFO / RN</x:t>
        </x:is>
      </x:c>
      <x:c r="F96" s="20" t="n">
        <x:v>0.8</x:v>
      </x:c>
      <x:c r="G96" s="20" t="n">
        <x:v>2</x:v>
      </x:c>
      <x:c r="H96" s="17" t="inlineStr">
        <x:is>
          <x:t xml:space="preserve">x</x:t>
        </x:is>
      </x:c>
      <x:c r="I96" s="17" t="inlineStr">
        <x:is>
          <x:t xml:space="preserve">HIGH_GOOD</x:t>
        </x:is>
      </x:c>
      <x:c r="J96" s="15" t="inlineStr">
        <x:is>
          <x:t xml:space="preserve">https://www.banque-france.fr/fr/publications-et-statistiques/statistiques/fascicules-dindicateurs-sectoriels</x:t>
        </x:is>
      </x:c>
      <x:c r="K96" s="15" t="inlineStr">
        <x:is>
          <x:t xml:space="preserve">Repères génériques. À adapter selon taille/maturité; remplacez par médianes/quartiles sectoriels si disponibles.</x:t>
        </x:is>
      </x:c>
    </x:row>
    <x:row r="97">
      <x:c r="A97" s="17" t="inlineStr">
        <x:is>
          <x:t xml:space="preserve">France|SaaS|ROA</x:t>
        </x:is>
      </x:c>
      <x:c r="B97" s="17" t="inlineStr">
        <x:is>
          <x:t xml:space="preserve">France</x:t>
        </x:is>
      </x:c>
      <x:c r="C97" s="17" t="inlineStr">
        <x:is>
          <x:t xml:space="preserve">SaaS</x:t>
        </x:is>
      </x:c>
      <x:c r="D97" s="17" t="inlineStr">
        <x:is>
          <x:t xml:space="preserve">ROA</x:t>
        </x:is>
      </x:c>
      <x:c r="E97" s="17" t="inlineStr">
        <x:is>
          <x:t xml:space="preserve">ROA</x:t>
        </x:is>
      </x:c>
      <x:c r="F97" s="18" t="n">
        <x:v>0.02</x:v>
      </x:c>
      <x:c r="G97" s="18" t="n">
        <x:v>0.1</x:v>
      </x:c>
      <x:c r="H97" s="17" t="inlineStr">
        <x:is>
          <x:t xml:space="preserve">%</x:t>
        </x:is>
      </x:c>
      <x:c r="I97" s="17" t="inlineStr">
        <x:is>
          <x:t xml:space="preserve">HIGH_GOOD</x:t>
        </x:is>
      </x:c>
      <x:c r="J97" s="15" t="inlineStr">
        <x:is>
          <x:t xml:space="preserve">https://www.banque-france.fr/fr/publications-et-statistiques/statistiques/fascicules-dindicateurs-sectoriels</x:t>
        </x:is>
      </x:c>
      <x:c r="K97" s="15" t="inlineStr">
        <x:is>
          <x:t xml:space="preserve">Repères génériques. À adapter selon taille/maturité; remplacez par médianes/quartiles sectoriels si disponibles.</x:t>
        </x:is>
      </x:c>
    </x:row>
    <x:row r="98">
      <x:c r="A98" s="17" t="inlineStr">
        <x:is>
          <x:t xml:space="preserve">France|SaaS|ROE</x:t>
        </x:is>
      </x:c>
      <x:c r="B98" s="17" t="inlineStr">
        <x:is>
          <x:t xml:space="preserve">France</x:t>
        </x:is>
      </x:c>
      <x:c r="C98" s="17" t="inlineStr">
        <x:is>
          <x:t xml:space="preserve">SaaS</x:t>
        </x:is>
      </x:c>
      <x:c r="D98" s="17" t="inlineStr">
        <x:is>
          <x:t xml:space="preserve">ROE</x:t>
        </x:is>
      </x:c>
      <x:c r="E98" s="17" t="inlineStr">
        <x:is>
          <x:t xml:space="preserve">ROE</x:t>
        </x:is>
      </x:c>
      <x:c r="F98" s="18" t="n">
        <x:v>0.08</x:v>
      </x:c>
      <x:c r="G98" s="18" t="n">
        <x:v>0.25</x:v>
      </x:c>
      <x:c r="H98" s="17" t="inlineStr">
        <x:is>
          <x:t xml:space="preserve">%</x:t>
        </x:is>
      </x:c>
      <x:c r="I98" s="17" t="inlineStr">
        <x:is>
          <x:t xml:space="preserve">HIGH_GOOD</x:t>
        </x:is>
      </x:c>
      <x:c r="J98" s="15" t="inlineStr">
        <x:is>
          <x:t xml:space="preserve">https://www.banque-france.fr/fr/publications-et-statistiques/statistiques/fascicules-dindicateurs-sectoriels</x:t>
        </x:is>
      </x:c>
      <x:c r="K98" s="15" t="inlineStr">
        <x:is>
          <x:t xml:space="preserve">Repères génériques. À adapter selon taille/maturité; remplacez par médianes/quartiles sectoriels si disponibles.</x:t>
        </x:is>
      </x:c>
    </x:row>
    <x:row r="99">
      <x:c r="A99" s="17" t="inlineStr">
        <x:is>
          <x:t xml:space="preserve">France|SaaS|ROCE</x:t>
        </x:is>
      </x:c>
      <x:c r="B99" s="17" t="inlineStr">
        <x:is>
          <x:t xml:space="preserve">France</x:t>
        </x:is>
      </x:c>
      <x:c r="C99" s="17" t="inlineStr">
        <x:is>
          <x:t xml:space="preserve">SaaS</x:t>
        </x:is>
      </x:c>
      <x:c r="D99" s="17" t="inlineStr">
        <x:is>
          <x:t xml:space="preserve">ROCE</x:t>
        </x:is>
      </x:c>
      <x:c r="E99" s="17" t="inlineStr">
        <x:is>
          <x:t xml:space="preserve">ROCE</x:t>
        </x:is>
      </x:c>
      <x:c r="F99" s="18" t="n">
        <x:v>0.08</x:v>
      </x:c>
      <x:c r="G99" s="18" t="n">
        <x:v>0.25</x:v>
      </x:c>
      <x:c r="H99" s="17" t="inlineStr">
        <x:is>
          <x:t xml:space="preserve">%</x:t>
        </x:is>
      </x:c>
      <x:c r="I99" s="17" t="inlineStr">
        <x:is>
          <x:t xml:space="preserve">HIGH_GOOD</x:t>
        </x:is>
      </x:c>
      <x:c r="J99" s="15" t="inlineStr">
        <x:is>
          <x:t xml:space="preserve">https://www.banque-france.fr/fr/publications-et-statistiques/statistiques/fascicules-dindicateurs-sectoriels</x:t>
        </x:is>
      </x:c>
      <x:c r="K99" s="15" t="inlineStr">
        <x:is>
          <x:t xml:space="preserve">Repères génériques. À adapter selon taille/maturité; remplacez par médianes/quartiles sectoriels si disponibles.</x:t>
        </x:is>
      </x:c>
    </x:row>
    <x:row r="100">
      <x:c r="A100" s="17" t="inlineStr">
        <x:is>
          <x:t xml:space="preserve">France|Construction|M_GROSS</x:t>
        </x:is>
      </x:c>
      <x:c r="B100" s="17" t="inlineStr">
        <x:is>
          <x:t xml:space="preserve">France</x:t>
        </x:is>
      </x:c>
      <x:c r="C100" s="17" t="inlineStr">
        <x:is>
          <x:t xml:space="preserve">Construction</x:t>
        </x:is>
      </x:c>
      <x:c r="D100" s="17" t="inlineStr">
        <x:is>
          <x:t xml:space="preserve">M_GROSS</x:t>
        </x:is>
      </x:c>
      <x:c r="E100" s="17" t="inlineStr">
        <x:is>
          <x:t xml:space="preserve">Marge brute</x:t>
        </x:is>
      </x:c>
      <x:c r="F100" s="18" t="n">
        <x:v>0.1</x:v>
      </x:c>
      <x:c r="G100" s="18" t="n">
        <x:v>0.25</x:v>
      </x:c>
      <x:c r="H100" s="17" t="inlineStr">
        <x:is>
          <x:t xml:space="preserve">%</x:t>
        </x:is>
      </x:c>
      <x:c r="I100" s="17" t="inlineStr">
        <x:is>
          <x:t xml:space="preserve">HIGH_GOOD</x:t>
        </x:is>
      </x:c>
      <x:c r="J100" s="15" t="inlineStr">
        <x:is>
          <x:t xml:space="preserve">https://www.banque-france.fr/fr/publications-et-statistiques/statistiques/fascicules-dindicateurs-sectoriels</x:t>
        </x:is>
      </x:c>
      <x:c r="K100" s="15" t="inlineStr">
        <x:is>
          <x:t xml:space="preserve">Repères génériques. À adapter selon taille/maturité; remplacez par médianes/quartiles sectoriels si disponibles.</x:t>
        </x:is>
      </x:c>
    </x:row>
    <x:row r="101">
      <x:c r="A101" s="17" t="inlineStr">
        <x:is>
          <x:t xml:space="preserve">France|Construction|M_EBITDA</x:t>
        </x:is>
      </x:c>
      <x:c r="B101" s="17" t="inlineStr">
        <x:is>
          <x:t xml:space="preserve">France</x:t>
        </x:is>
      </x:c>
      <x:c r="C101" s="17" t="inlineStr">
        <x:is>
          <x:t xml:space="preserve">Construction</x:t>
        </x:is>
      </x:c>
      <x:c r="D101" s="17" t="inlineStr">
        <x:is>
          <x:t xml:space="preserve">M_EBITDA</x:t>
        </x:is>
      </x:c>
      <x:c r="E101" s="17" t="inlineStr">
        <x:is>
          <x:t xml:space="preserve">Marge EBITDA</x:t>
        </x:is>
      </x:c>
      <x:c r="F101" s="18" t="n">
        <x:v>0.03</x:v>
      </x:c>
      <x:c r="G101" s="18" t="n">
        <x:v>0.1</x:v>
      </x:c>
      <x:c r="H101" s="17" t="inlineStr">
        <x:is>
          <x:t xml:space="preserve">%</x:t>
        </x:is>
      </x:c>
      <x:c r="I101" s="17" t="inlineStr">
        <x:is>
          <x:t xml:space="preserve">HIGH_GOOD</x:t>
        </x:is>
      </x:c>
      <x:c r="J101" s="15" t="inlineStr">
        <x:is>
          <x:t xml:space="preserve">https://www.banque-france.fr/fr/publications-et-statistiques/statistiques/fascicules-dindicateurs-sectoriels</x:t>
        </x:is>
      </x:c>
      <x:c r="K101" s="15" t="inlineStr">
        <x:is>
          <x:t xml:space="preserve">Repères génériques. À adapter selon taille/maturité; remplacez par médianes/quartiles sectoriels si disponibles.</x:t>
        </x:is>
      </x:c>
    </x:row>
    <x:row r="102">
      <x:c r="A102" s="17" t="inlineStr">
        <x:is>
          <x:t xml:space="preserve">France|Construction|M_EBIT</x:t>
        </x:is>
      </x:c>
      <x:c r="B102" s="17" t="inlineStr">
        <x:is>
          <x:t xml:space="preserve">France</x:t>
        </x:is>
      </x:c>
      <x:c r="C102" s="17" t="inlineStr">
        <x:is>
          <x:t xml:space="preserve">Construction</x:t>
        </x:is>
      </x:c>
      <x:c r="D102" s="17" t="inlineStr">
        <x:is>
          <x:t xml:space="preserve">M_EBIT</x:t>
        </x:is>
      </x:c>
      <x:c r="E102" s="17" t="inlineStr">
        <x:is>
          <x:t xml:space="preserve">Marge EBIT</x:t>
        </x:is>
      </x:c>
      <x:c r="F102" s="18" t="n">
        <x:v>0.02</x:v>
      </x:c>
      <x:c r="G102" s="18" t="n">
        <x:v>0.07000000000000001</x:v>
      </x:c>
      <x:c r="H102" s="17" t="inlineStr">
        <x:is>
          <x:t xml:space="preserve">%</x:t>
        </x:is>
      </x:c>
      <x:c r="I102" s="17" t="inlineStr">
        <x:is>
          <x:t xml:space="preserve">HIGH_GOOD</x:t>
        </x:is>
      </x:c>
      <x:c r="J102" s="15" t="inlineStr">
        <x:is>
          <x:t xml:space="preserve">https://www.banque-france.fr/fr/publications-et-statistiques/statistiques/fascicules-dindicateurs-sectoriels</x:t>
        </x:is>
      </x:c>
      <x:c r="K102" s="15" t="inlineStr">
        <x:is>
          <x:t xml:space="preserve">Repères génériques. À adapter selon taille/maturité; remplacez par médianes/quartiles sectoriels si disponibles.</x:t>
        </x:is>
      </x:c>
    </x:row>
    <x:row r="103">
      <x:c r="A103" s="17" t="inlineStr">
        <x:is>
          <x:t xml:space="preserve">France|Construction|M_NET</x:t>
        </x:is>
      </x:c>
      <x:c r="B103" s="17" t="inlineStr">
        <x:is>
          <x:t xml:space="preserve">France</x:t>
        </x:is>
      </x:c>
      <x:c r="C103" s="17" t="inlineStr">
        <x:is>
          <x:t xml:space="preserve">Construction</x:t>
        </x:is>
      </x:c>
      <x:c r="D103" s="17" t="inlineStr">
        <x:is>
          <x:t xml:space="preserve">M_NET</x:t>
        </x:is>
      </x:c>
      <x:c r="E103" s="17" t="inlineStr">
        <x:is>
          <x:t xml:space="preserve">Marge nette</x:t>
        </x:is>
      </x:c>
      <x:c r="F103" s="18" t="n">
        <x:v>0.01</x:v>
      </x:c>
      <x:c r="G103" s="18" t="n">
        <x:v>0.04</x:v>
      </x:c>
      <x:c r="H103" s="17" t="inlineStr">
        <x:is>
          <x:t xml:space="preserve">%</x:t>
        </x:is>
      </x:c>
      <x:c r="I103" s="17" t="inlineStr">
        <x:is>
          <x:t xml:space="preserve">HIGH_GOOD</x:t>
        </x:is>
      </x:c>
      <x:c r="J103" s="15" t="inlineStr">
        <x:is>
          <x:t xml:space="preserve">https://www.banque-france.fr/fr/publications-et-statistiques/statistiques/fascicules-dindicateurs-sectoriels</x:t>
        </x:is>
      </x:c>
      <x:c r="K103" s="15" t="inlineStr">
        <x:is>
          <x:t xml:space="preserve">Repères génériques. À adapter selon taille/maturité; remplacez par médianes/quartiles sectoriels si disponibles.</x:t>
        </x:is>
      </x:c>
    </x:row>
    <x:row r="104">
      <x:c r="A104" s="17" t="inlineStr">
        <x:is>
          <x:t xml:space="preserve">France|Construction|G_REV</x:t>
        </x:is>
      </x:c>
      <x:c r="B104" s="17" t="inlineStr">
        <x:is>
          <x:t xml:space="preserve">France</x:t>
        </x:is>
      </x:c>
      <x:c r="C104" s="17" t="inlineStr">
        <x:is>
          <x:t xml:space="preserve">Construction</x:t>
        </x:is>
      </x:c>
      <x:c r="D104" s="17" t="inlineStr">
        <x:is>
          <x:t xml:space="preserve">G_REV</x:t>
        </x:is>
      </x:c>
      <x:c r="E104" s="17" t="inlineStr">
        <x:is>
          <x:t xml:space="preserve">Croissance CA</x:t>
        </x:is>
      </x:c>
      <x:c r="F104" s="18" t="n">
        <x:v>-0.05</x:v>
      </x:c>
      <x:c r="G104" s="18" t="n">
        <x:v>0.15</x:v>
      </x:c>
      <x:c r="H104" s="17" t="inlineStr">
        <x:is>
          <x:t xml:space="preserve">%</x:t>
        </x:is>
      </x:c>
      <x:c r="I104" s="17" t="inlineStr">
        <x:is>
          <x:t xml:space="preserve">HIGH_GOOD</x:t>
        </x:is>
      </x:c>
      <x:c r="J104" s="15" t="inlineStr">
        <x:is>
          <x:t xml:space="preserve">https://www.banque-france.fr/fr/publications-et-statistiques/statistiques/fascicules-dindicateurs-sectoriels</x:t>
        </x:is>
      </x:c>
      <x:c r="K104" s="15" t="inlineStr">
        <x:is>
          <x:t xml:space="preserve">Repères génériques. À adapter selon taille/maturité; remplacez par médianes/quartiles sectoriels si disponibles.</x:t>
        </x:is>
      </x:c>
    </x:row>
    <x:row r="105">
      <x:c r="A105" s="17" t="inlineStr">
        <x:is>
          <x:t xml:space="preserve">France|Construction|G_NI</x:t>
        </x:is>
      </x:c>
      <x:c r="B105" s="17" t="inlineStr">
        <x:is>
          <x:t xml:space="preserve">France</x:t>
        </x:is>
      </x:c>
      <x:c r="C105" s="17" t="inlineStr">
        <x:is>
          <x:t xml:space="preserve">Construction</x:t>
        </x:is>
      </x:c>
      <x:c r="D105" s="17" t="inlineStr">
        <x:is>
          <x:t xml:space="preserve">G_NI</x:t>
        </x:is>
      </x:c>
      <x:c r="E105" s="17" t="inlineStr">
        <x:is>
          <x:t xml:space="preserve">Croissance RN</x:t>
        </x:is>
      </x:c>
      <x:c r="F105" s="18" t="n">
        <x:v>-0.15</x:v>
      </x:c>
      <x:c r="G105" s="18" t="n">
        <x:v>0.15</x:v>
      </x:c>
      <x:c r="H105" s="17" t="inlineStr">
        <x:is>
          <x:t xml:space="preserve">%</x:t>
        </x:is>
      </x:c>
      <x:c r="I105" s="17" t="inlineStr">
        <x:is>
          <x:t xml:space="preserve">HIGH_GOOD</x:t>
        </x:is>
      </x:c>
      <x:c r="J105" s="15" t="inlineStr">
        <x:is>
          <x:t xml:space="preserve">https://www.banque-france.fr/fr/publications-et-statistiques/statistiques/fascicules-dindicateurs-sectoriels</x:t>
        </x:is>
      </x:c>
      <x:c r="K105" s="15" t="inlineStr">
        <x:is>
          <x:t xml:space="preserve">Repères génériques. À adapter selon taille/maturité; remplacez par médianes/quartiles sectoriels si disponibles.</x:t>
        </x:is>
      </x:c>
    </x:row>
    <x:row r="106">
      <x:c r="A106" s="17" t="inlineStr">
        <x:is>
          <x:t xml:space="preserve">France|Construction|D_INV</x:t>
        </x:is>
      </x:c>
      <x:c r="B106" s="17" t="inlineStr">
        <x:is>
          <x:t xml:space="preserve">France</x:t>
        </x:is>
      </x:c>
      <x:c r="C106" s="17" t="inlineStr">
        <x:is>
          <x:t xml:space="preserve">Construction</x:t>
        </x:is>
      </x:c>
      <x:c r="D106" s="17" t="inlineStr">
        <x:is>
          <x:t xml:space="preserve">D_INV</x:t>
        </x:is>
      </x:c>
      <x:c r="E106" s="17" t="inlineStr">
        <x:is>
          <x:t xml:space="preserve">Jours de stocks</x:t>
        </x:is>
      </x:c>
      <x:c r="F106" s="26" t="n">
        <x:v>5</x:v>
      </x:c>
      <x:c r="G106" s="26" t="n">
        <x:v>40</x:v>
      </x:c>
      <x:c r="H106" s="17" t="inlineStr">
        <x:is>
          <x:t xml:space="preserve">jours</x:t>
        </x:is>
      </x:c>
      <x:c r="I106" s="17" t="inlineStr">
        <x:is>
          <x:t xml:space="preserve">LOW_GOOD</x:t>
        </x:is>
      </x:c>
      <x:c r="J106" s="15" t="inlineStr">
        <x:is>
          <x:t xml:space="preserve">https://www.banque-france.fr/fr/publications-et-statistiques/statistiques/fascicules-dindicateurs-sectoriels</x:t>
        </x:is>
      </x:c>
      <x:c r="K106" s="15" t="inlineStr">
        <x:is>
          <x:t xml:space="preserve">Repères génériques. À adapter selon taille/maturité; remplacez par médianes/quartiles sectoriels si disponibles.</x:t>
        </x:is>
      </x:c>
    </x:row>
    <x:row r="107">
      <x:c r="A107" s="17" t="inlineStr">
        <x:is>
          <x:t xml:space="preserve">France|Construction|DSO</x:t>
        </x:is>
      </x:c>
      <x:c r="B107" s="17" t="inlineStr">
        <x:is>
          <x:t xml:space="preserve">France</x:t>
        </x:is>
      </x:c>
      <x:c r="C107" s="17" t="inlineStr">
        <x:is>
          <x:t xml:space="preserve">Construction</x:t>
        </x:is>
      </x:c>
      <x:c r="D107" s="17" t="inlineStr">
        <x:is>
          <x:t xml:space="preserve">DSO</x:t>
        </x:is>
      </x:c>
      <x:c r="E107" s="17" t="inlineStr">
        <x:is>
          <x:t xml:space="preserve">DSO (jours clients)</x:t>
        </x:is>
      </x:c>
      <x:c r="F107" s="26" t="n">
        <x:v>50</x:v>
      </x:c>
      <x:c r="G107" s="26" t="n">
        <x:v>110</x:v>
      </x:c>
      <x:c r="H107" s="17" t="inlineStr">
        <x:is>
          <x:t xml:space="preserve">jours</x:t>
        </x:is>
      </x:c>
      <x:c r="I107" s="17" t="inlineStr">
        <x:is>
          <x:t xml:space="preserve">LOW_GOOD</x:t>
        </x:is>
      </x:c>
      <x:c r="J107" s="15" t="inlineStr">
        <x:is>
          <x:t xml:space="preserve">https://www.banque-france.fr/fr/publications-et-statistiques/statistiques/fascicules-dindicateurs-sectoriels</x:t>
        </x:is>
      </x:c>
      <x:c r="K107" s="15" t="inlineStr">
        <x:is>
          <x:t xml:space="preserve">Repère. Délais B2B encadrés (max ~60 jours sauf accords).</x:t>
        </x:is>
      </x:c>
    </x:row>
    <x:row r="108">
      <x:c r="A108" s="17" t="inlineStr">
        <x:is>
          <x:t xml:space="preserve">France|Construction|DPO</x:t>
        </x:is>
      </x:c>
      <x:c r="B108" s="17" t="inlineStr">
        <x:is>
          <x:t xml:space="preserve">France</x:t>
        </x:is>
      </x:c>
      <x:c r="C108" s="17" t="inlineStr">
        <x:is>
          <x:t xml:space="preserve">Construction</x:t>
        </x:is>
      </x:c>
      <x:c r="D108" s="17" t="inlineStr">
        <x:is>
          <x:t xml:space="preserve">DPO</x:t>
        </x:is>
      </x:c>
      <x:c r="E108" s="17" t="inlineStr">
        <x:is>
          <x:t xml:space="preserve">DPO (jours fournisseurs)</x:t>
        </x:is>
      </x:c>
      <x:c r="F108" s="26" t="n">
        <x:v>45</x:v>
      </x:c>
      <x:c r="G108" s="26" t="n">
        <x:v>120</x:v>
      </x:c>
      <x:c r="H108" s="17" t="inlineStr">
        <x:is>
          <x:t xml:space="preserve">jours</x:t>
        </x:is>
      </x:c>
      <x:c r="I108" s="17" t="inlineStr">
        <x:is>
          <x:t xml:space="preserve">RANGE</x:t>
        </x:is>
      </x:c>
      <x:c r="J108" s="15" t="inlineStr">
        <x:is>
          <x:t xml:space="preserve">https://www.banque-france.fr/fr/publications-et-statistiques/statistiques/fascicules-dindicateurs-sectoriels</x:t>
        </x:is>
      </x:c>
      <x:c r="K108" s="15" t="inlineStr">
        <x:is>
          <x:t xml:space="preserve">Repère. Délais B2B encadrés (max ~60 jours sauf accords).</x:t>
        </x:is>
      </x:c>
    </x:row>
    <x:row r="109">
      <x:c r="A109" s="17" t="inlineStr">
        <x:is>
          <x:t xml:space="preserve">France|Construction|CCC</x:t>
        </x:is>
      </x:c>
      <x:c r="B109" s="17" t="inlineStr">
        <x:is>
          <x:t xml:space="preserve">France</x:t>
        </x:is>
      </x:c>
      <x:c r="C109" s="17" t="inlineStr">
        <x:is>
          <x:t xml:space="preserve">Construction</x:t>
        </x:is>
      </x:c>
      <x:c r="D109" s="17" t="inlineStr">
        <x:is>
          <x:t xml:space="preserve">CCC</x:t>
        </x:is>
      </x:c>
      <x:c r="E109" s="17" t="inlineStr">
        <x:is>
          <x:t xml:space="preserve">Cycle de conversion cash (jours)</x:t>
        </x:is>
      </x:c>
      <x:c r="F109" s="26" t="n">
        <x:v>0</x:v>
      </x:c>
      <x:c r="G109" s="26" t="n">
        <x:v>90</x:v>
      </x:c>
      <x:c r="H109" s="17" t="inlineStr">
        <x:is>
          <x:t xml:space="preserve">jours</x:t>
        </x:is>
      </x:c>
      <x:c r="I109" s="17" t="inlineStr">
        <x:is>
          <x:t xml:space="preserve">LOW_GOOD</x:t>
        </x:is>
      </x:c>
      <x:c r="J109" s="15" t="inlineStr">
        <x:is>
          <x:t xml:space="preserve">https://www.banque-france.fr/fr/publications-et-statistiques/statistiques/fascicules-dindicateurs-sectoriels</x:t>
        </x:is>
      </x:c>
      <x:c r="K109" s="15" t="inlineStr">
        <x:is>
          <x:t xml:space="preserve">Repères génériques. À adapter selon taille/maturité; remplacez par médianes/quartiles sectoriels si disponibles.</x:t>
        </x:is>
      </x:c>
    </x:row>
    <x:row r="110">
      <x:c r="A110" s="17" t="inlineStr">
        <x:is>
          <x:t xml:space="preserve">France|Construction|BFR_REV</x:t>
        </x:is>
      </x:c>
      <x:c r="B110" s="17" t="inlineStr">
        <x:is>
          <x:t xml:space="preserve">France</x:t>
        </x:is>
      </x:c>
      <x:c r="C110" s="17" t="inlineStr">
        <x:is>
          <x:t xml:space="preserve">Construction</x:t>
        </x:is>
      </x:c>
      <x:c r="D110" s="17" t="inlineStr">
        <x:is>
          <x:t xml:space="preserve">BFR_REV</x:t>
        </x:is>
      </x:c>
      <x:c r="E110" s="17" t="inlineStr">
        <x:is>
          <x:t xml:space="preserve">BFR / CA</x:t>
        </x:is>
      </x:c>
      <x:c r="F110" s="18" t="n">
        <x:v>0.05</x:v>
      </x:c>
      <x:c r="G110" s="18" t="n">
        <x:v>0.3</x:v>
      </x:c>
      <x:c r="H110" s="17" t="inlineStr">
        <x:is>
          <x:t xml:space="preserve">%</x:t>
        </x:is>
      </x:c>
      <x:c r="I110" s="17" t="inlineStr">
        <x:is>
          <x:t xml:space="preserve">RANGE</x:t>
        </x:is>
      </x:c>
      <x:c r="J110" s="15" t="inlineStr">
        <x:is>
          <x:t xml:space="preserve">https://www.banque-france.fr/fr/publications-et-statistiques/statistiques/fascicules-dindicateurs-sectoriels</x:t>
        </x:is>
      </x:c>
      <x:c r="K110" s="15" t="inlineStr">
        <x:is>
          <x:t xml:space="preserve">Repères génériques. À adapter selon taille/maturité; remplacez par médianes/quartiles sectoriels si disponibles.</x:t>
        </x:is>
      </x:c>
    </x:row>
    <x:row r="111">
      <x:c r="A111" s="17" t="inlineStr">
        <x:is>
          <x:t xml:space="preserve">France|Construction|EQ_RATIO</x:t>
        </x:is>
      </x:c>
      <x:c r="B111" s="17" t="inlineStr">
        <x:is>
          <x:t xml:space="preserve">France</x:t>
        </x:is>
      </x:c>
      <x:c r="C111" s="17" t="inlineStr">
        <x:is>
          <x:t xml:space="preserve">Construction</x:t>
        </x:is>
      </x:c>
      <x:c r="D111" s="17" t="inlineStr">
        <x:is>
          <x:t xml:space="preserve">EQ_RATIO</x:t>
        </x:is>
      </x:c>
      <x:c r="E111" s="17" t="inlineStr">
        <x:is>
          <x:t xml:space="preserve">Autonomie financière (CP/Total bilan)</x:t>
        </x:is>
      </x:c>
      <x:c r="F111" s="18" t="n">
        <x:v>0.25</x:v>
      </x:c>
      <x:c r="G111" s="18" t="n">
        <x:v>0.55</x:v>
      </x:c>
      <x:c r="H111" s="17" t="inlineStr">
        <x:is>
          <x:t xml:space="preserve">%</x:t>
        </x:is>
      </x:c>
      <x:c r="I111" s="17" t="inlineStr">
        <x:is>
          <x:t xml:space="preserve">HIGH_GOOD</x:t>
        </x:is>
      </x:c>
      <x:c r="J111" s="15" t="inlineStr">
        <x:is>
          <x:t xml:space="preserve">https://www.banque-france.fr/fr/publications-et-statistiques/statistiques/fascicules-dindicateurs-sectoriels</x:t>
        </x:is>
      </x:c>
      <x:c r="K111" s="15" t="inlineStr">
        <x:is>
          <x:t xml:space="preserve">Repères génériques. À adapter selon taille/maturité; remplacez par médianes/quartiles sectoriels si disponibles.</x:t>
        </x:is>
      </x:c>
    </x:row>
    <x:row r="112">
      <x:c r="A112" s="17" t="inlineStr">
        <x:is>
          <x:t xml:space="preserve">France|Construction|GEARING</x:t>
        </x:is>
      </x:c>
      <x:c r="B112" s="17" t="inlineStr">
        <x:is>
          <x:t xml:space="preserve">France</x:t>
        </x:is>
      </x:c>
      <x:c r="C112" s="17" t="inlineStr">
        <x:is>
          <x:t xml:space="preserve">Construction</x:t>
        </x:is>
      </x:c>
      <x:c r="D112" s="17" t="inlineStr">
        <x:is>
          <x:t xml:space="preserve">GEARING</x:t>
        </x:is>
      </x:c>
      <x:c r="E112" s="17" t="inlineStr">
        <x:is>
          <x:t xml:space="preserve">Gearing (Dette nette/CP)</x:t>
        </x:is>
      </x:c>
      <x:c r="F112" s="20" t="n">
        <x:v>0</x:v>
      </x:c>
      <x:c r="G112" s="20" t="n">
        <x:v>1.2</x:v>
      </x:c>
      <x:c r="H112" s="17" t="inlineStr">
        <x:is>
          <x:t xml:space="preserve">x</x:t>
        </x:is>
      </x:c>
      <x:c r="I112" s="17" t="inlineStr">
        <x:is>
          <x:t xml:space="preserve">LOW_GOOD</x:t>
        </x:is>
      </x:c>
      <x:c r="J112" s="15" t="inlineStr">
        <x:is>
          <x:t xml:space="preserve">https://www.banque-france.fr/fr/publications-et-statistiques/statistiques/fascicules-dindicateurs-sectoriels</x:t>
        </x:is>
      </x:c>
      <x:c r="K112" s="15" t="inlineStr">
        <x:is>
          <x:t xml:space="preserve">Repères génériques. À adapter selon taille/maturité; remplacez par médianes/quartiles sectoriels si disponibles.</x:t>
        </x:is>
      </x:c>
    </x:row>
    <x:row r="113">
      <x:c r="A113" s="17" t="inlineStr">
        <x:is>
          <x:t xml:space="preserve">France|Construction|CURR</x:t>
        </x:is>
      </x:c>
      <x:c r="B113" s="17" t="inlineStr">
        <x:is>
          <x:t xml:space="preserve">France</x:t>
        </x:is>
      </x:c>
      <x:c r="C113" s="17" t="inlineStr">
        <x:is>
          <x:t xml:space="preserve">Construction</x:t>
        </x:is>
      </x:c>
      <x:c r="D113" s="17" t="inlineStr">
        <x:is>
          <x:t xml:space="preserve">CURR</x:t>
        </x:is>
      </x:c>
      <x:c r="E113" s="17" t="inlineStr">
        <x:is>
          <x:t xml:space="preserve">Current ratio</x:t>
        </x:is>
      </x:c>
      <x:c r="F113" s="20" t="n">
        <x:v>1.1</x:v>
      </x:c>
      <x:c r="G113" s="20" t="n">
        <x:v>2</x:v>
      </x:c>
      <x:c r="H113" s="17" t="inlineStr">
        <x:is>
          <x:t xml:space="preserve">x</x:t>
        </x:is>
      </x:c>
      <x:c r="I113" s="17" t="inlineStr">
        <x:is>
          <x:t xml:space="preserve">RANGE</x:t>
        </x:is>
      </x:c>
      <x:c r="J113" s="15" t="inlineStr">
        <x:is>
          <x:t xml:space="preserve">https://www.banque-france.fr/fr/publications-et-statistiques/statistiques/fascicules-dindicateurs-sectoriels</x:t>
        </x:is>
      </x:c>
      <x:c r="K113" s="15" t="inlineStr">
        <x:is>
          <x:t xml:space="preserve">Repères génériques. À adapter selon taille/maturité; remplacez par médianes/quartiles sectoriels si disponibles.</x:t>
        </x:is>
      </x:c>
    </x:row>
    <x:row r="114">
      <x:c r="A114" s="17" t="inlineStr">
        <x:is>
          <x:t xml:space="preserve">France|Construction|QUICK</x:t>
        </x:is>
      </x:c>
      <x:c r="B114" s="17" t="inlineStr">
        <x:is>
          <x:t xml:space="preserve">France</x:t>
        </x:is>
      </x:c>
      <x:c r="C114" s="17" t="inlineStr">
        <x:is>
          <x:t xml:space="preserve">Construction</x:t>
        </x:is>
      </x:c>
      <x:c r="D114" s="17" t="inlineStr">
        <x:is>
          <x:t xml:space="preserve">QUICK</x:t>
        </x:is>
      </x:c>
      <x:c r="E114" s="17" t="inlineStr">
        <x:is>
          <x:t xml:space="preserve">Quick ratio</x:t>
        </x:is>
      </x:c>
      <x:c r="F114" s="20" t="n">
        <x:v>0.9</x:v>
      </x:c>
      <x:c r="G114" s="20" t="n">
        <x:v>1.6</x:v>
      </x:c>
      <x:c r="H114" s="17" t="inlineStr">
        <x:is>
          <x:t xml:space="preserve">x</x:t>
        </x:is>
      </x:c>
      <x:c r="I114" s="17" t="inlineStr">
        <x:is>
          <x:t xml:space="preserve">RANGE</x:t>
        </x:is>
      </x:c>
      <x:c r="J114" s="15" t="inlineStr">
        <x:is>
          <x:t xml:space="preserve">https://www.banque-france.fr/fr/publications-et-statistiques/statistiques/fascicules-dindicateurs-sectoriels</x:t>
        </x:is>
      </x:c>
      <x:c r="K114" s="15" t="inlineStr">
        <x:is>
          <x:t xml:space="preserve">Repères génériques. À adapter selon taille/maturité; remplacez par médianes/quartiles sectoriels si disponibles.</x:t>
        </x:is>
      </x:c>
    </x:row>
    <x:row r="115">
      <x:c r="A115" s="17" t="inlineStr">
        <x:is>
          <x:t xml:space="preserve">France|Construction|CASHR</x:t>
        </x:is>
      </x:c>
      <x:c r="B115" s="17" t="inlineStr">
        <x:is>
          <x:t xml:space="preserve">France</x:t>
        </x:is>
      </x:c>
      <x:c r="C115" s="17" t="inlineStr">
        <x:is>
          <x:t xml:space="preserve">Construction</x:t>
        </x:is>
      </x:c>
      <x:c r="D115" s="17" t="inlineStr">
        <x:is>
          <x:t xml:space="preserve">CASHR</x:t>
        </x:is>
      </x:c>
      <x:c r="E115" s="17" t="inlineStr">
        <x:is>
          <x:t xml:space="preserve">Cash ratio</x:t>
        </x:is>
      </x:c>
      <x:c r="F115" s="20" t="n">
        <x:v>0.15</x:v>
      </x:c>
      <x:c r="G115" s="20" t="n">
        <x:v>0.7</x:v>
      </x:c>
      <x:c r="H115" s="17" t="inlineStr">
        <x:is>
          <x:t xml:space="preserve">x</x:t>
        </x:is>
      </x:c>
      <x:c r="I115" s="17" t="inlineStr">
        <x:is>
          <x:t xml:space="preserve">RANGE</x:t>
        </x:is>
      </x:c>
      <x:c r="J115" s="15" t="inlineStr">
        <x:is>
          <x:t xml:space="preserve">https://www.banque-france.fr/fr/publications-et-statistiques/statistiques/fascicules-dindicateurs-sectoriels</x:t>
        </x:is>
      </x:c>
      <x:c r="K115" s="15" t="inlineStr">
        <x:is>
          <x:t xml:space="preserve">Repères génériques. À adapter selon taille/maturité; remplacez par médianes/quartiles sectoriels si disponibles.</x:t>
        </x:is>
      </x:c>
    </x:row>
    <x:row r="116">
      <x:c r="A116" s="17" t="inlineStr">
        <x:is>
          <x:t xml:space="preserve">France|Construction|ND_EBITDA</x:t>
        </x:is>
      </x:c>
      <x:c r="B116" s="17" t="inlineStr">
        <x:is>
          <x:t xml:space="preserve">France</x:t>
        </x:is>
      </x:c>
      <x:c r="C116" s="17" t="inlineStr">
        <x:is>
          <x:t xml:space="preserve">Construction</x:t>
        </x:is>
      </x:c>
      <x:c r="D116" s="17" t="inlineStr">
        <x:is>
          <x:t xml:space="preserve">ND_EBITDA</x:t>
        </x:is>
      </x:c>
      <x:c r="E116" s="17" t="inlineStr">
        <x:is>
          <x:t xml:space="preserve">Dette nette / EBITDA</x:t>
        </x:is>
      </x:c>
      <x:c r="F116" s="20" t="n">
        <x:v>0</x:v>
      </x:c>
      <x:c r="G116" s="20" t="n">
        <x:v>3.5</x:v>
      </x:c>
      <x:c r="H116" s="17" t="inlineStr">
        <x:is>
          <x:t xml:space="preserve">x</x:t>
        </x:is>
      </x:c>
      <x:c r="I116" s="17" t="inlineStr">
        <x:is>
          <x:t xml:space="preserve">LOW_GOOD</x:t>
        </x:is>
      </x:c>
      <x:c r="J116" s="15" t="inlineStr">
        <x:is>
          <x:t xml:space="preserve">https://www.banque-france.fr/fr/publications-et-statistiques/statistiques/fascicules-dindicateurs-sectoriels</x:t>
        </x:is>
      </x:c>
      <x:c r="K116" s="15" t="inlineStr">
        <x:is>
          <x:t xml:space="preserve">Repères génériques. À adapter selon taille/maturité; remplacez par médianes/quartiles sectoriels si disponibles.</x:t>
        </x:is>
      </x:c>
    </x:row>
    <x:row r="117">
      <x:c r="A117" s="17" t="inlineStr">
        <x:is>
          <x:t xml:space="preserve">France|Construction|D_E</x:t>
        </x:is>
      </x:c>
      <x:c r="B117" s="17" t="inlineStr">
        <x:is>
          <x:t xml:space="preserve">France</x:t>
        </x:is>
      </x:c>
      <x:c r="C117" s="17" t="inlineStr">
        <x:is>
          <x:t xml:space="preserve">Construction</x:t>
        </x:is>
      </x:c>
      <x:c r="D117" s="17" t="inlineStr">
        <x:is>
          <x:t xml:space="preserve">D_E</x:t>
        </x:is>
      </x:c>
      <x:c r="E117" s="17" t="inlineStr">
        <x:is>
          <x:t xml:space="preserve">Dette / CP</x:t>
        </x:is>
      </x:c>
      <x:c r="F117" s="20" t="n">
        <x:v>0</x:v>
      </x:c>
      <x:c r="G117" s="20" t="n">
        <x:v>2</x:v>
      </x:c>
      <x:c r="H117" s="17" t="inlineStr">
        <x:is>
          <x:t xml:space="preserve">x</x:t>
        </x:is>
      </x:c>
      <x:c r="I117" s="17" t="inlineStr">
        <x:is>
          <x:t xml:space="preserve">LOW_GOOD</x:t>
        </x:is>
      </x:c>
      <x:c r="J117" s="15" t="inlineStr">
        <x:is>
          <x:t xml:space="preserve">https://www.banque-france.fr/fr/publications-et-statistiques/statistiques/fascicules-dindicateurs-sectoriels</x:t>
        </x:is>
      </x:c>
      <x:c r="K117" s="15" t="inlineStr">
        <x:is>
          <x:t xml:space="preserve">Repères génériques. À adapter selon taille/maturité; remplacez par médianes/quartiles sectoriels si disponibles.</x:t>
        </x:is>
      </x:c>
    </x:row>
    <x:row r="118">
      <x:c r="A118" s="17" t="inlineStr">
        <x:is>
          <x:t xml:space="preserve">France|Construction|ICR</x:t>
        </x:is>
      </x:c>
      <x:c r="B118" s="17" t="inlineStr">
        <x:is>
          <x:t xml:space="preserve">France</x:t>
        </x:is>
      </x:c>
      <x:c r="C118" s="17" t="inlineStr">
        <x:is>
          <x:t xml:space="preserve">Construction</x:t>
        </x:is>
      </x:c>
      <x:c r="D118" s="17" t="inlineStr">
        <x:is>
          <x:t xml:space="preserve">ICR</x:t>
        </x:is>
      </x:c>
      <x:c r="E118" s="17" t="inlineStr">
        <x:is>
          <x:t xml:space="preserve">Couverture intérêts (EBIT/Intérêts)</x:t>
        </x:is>
      </x:c>
      <x:c r="F118" s="20" t="n">
        <x:v>2.5</x:v>
      </x:c>
      <x:c r="G118" s="20" t="n">
        <x:v>10</x:v>
      </x:c>
      <x:c r="H118" s="17" t="inlineStr">
        <x:is>
          <x:t xml:space="preserve">x</x:t>
        </x:is>
      </x:c>
      <x:c r="I118" s="17" t="inlineStr">
        <x:is>
          <x:t xml:space="preserve">HIGH_GOOD</x:t>
        </x:is>
      </x:c>
      <x:c r="J118" s="15" t="inlineStr">
        <x:is>
          <x:t xml:space="preserve">https://www.banque-france.fr/fr/publications-et-statistiques/statistiques/fascicules-dindicateurs-sectoriels</x:t>
        </x:is>
      </x:c>
      <x:c r="K118" s="15" t="inlineStr">
        <x:is>
          <x:t xml:space="preserve">Repères génériques. À adapter selon taille/maturité; remplacez par médianes/quartiles sectoriels si disponibles.</x:t>
        </x:is>
      </x:c>
    </x:row>
    <x:row r="119">
      <x:c r="A119" s="17" t="inlineStr">
        <x:is>
          <x:t xml:space="preserve">France|Construction|DSCR</x:t>
        </x:is>
      </x:c>
      <x:c r="B119" s="17" t="inlineStr">
        <x:is>
          <x:t xml:space="preserve">France</x:t>
        </x:is>
      </x:c>
      <x:c r="C119" s="17" t="inlineStr">
        <x:is>
          <x:t xml:space="preserve">Construction</x:t>
        </x:is>
      </x:c>
      <x:c r="D119" s="17" t="inlineStr">
        <x:is>
          <x:t xml:space="preserve">DSCR</x:t>
        </x:is>
      </x:c>
      <x:c r="E119" s="17" t="inlineStr">
        <x:is>
          <x:t xml:space="preserve">DSCR</x:t>
        </x:is>
      </x:c>
      <x:c r="F119" s="20" t="n">
        <x:v>1.1</x:v>
      </x:c>
      <x:c r="G119" s="20" t="n">
        <x:v>2.5</x:v>
      </x:c>
      <x:c r="H119" s="17" t="inlineStr">
        <x:is>
          <x:t xml:space="preserve">x</x:t>
        </x:is>
      </x:c>
      <x:c r="I119" s="17" t="inlineStr">
        <x:is>
          <x:t xml:space="preserve">HIGH_GOOD</x:t>
        </x:is>
      </x:c>
      <x:c r="J119" s="15" t="inlineStr">
        <x:is>
          <x:t xml:space="preserve">https://www.banque-france.fr/fr/publications-et-statistiques/statistiques/fascicules-dindicateurs-sectoriels</x:t>
        </x:is>
      </x:c>
      <x:c r="K119" s="15" t="inlineStr">
        <x:is>
          <x:t xml:space="preserve">Repères génériques. À adapter selon taille/maturité; remplacez par médianes/quartiles sectoriels si disponibles.</x:t>
        </x:is>
      </x:c>
    </x:row>
    <x:row r="120">
      <x:c r="A120" s="17" t="inlineStr">
        <x:is>
          <x:t xml:space="preserve">France|Construction|CFO_NI</x:t>
        </x:is>
      </x:c>
      <x:c r="B120" s="17" t="inlineStr">
        <x:is>
          <x:t xml:space="preserve">France</x:t>
        </x:is>
      </x:c>
      <x:c r="C120" s="17" t="inlineStr">
        <x:is>
          <x:t xml:space="preserve">Construction</x:t>
        </x:is>
      </x:c>
      <x:c r="D120" s="17" t="inlineStr">
        <x:is>
          <x:t xml:space="preserve">CFO_NI</x:t>
        </x:is>
      </x:c>
      <x:c r="E120" s="17" t="inlineStr">
        <x:is>
          <x:t xml:space="preserve">CFO / RN</x:t>
        </x:is>
      </x:c>
      <x:c r="F120" s="20" t="n">
        <x:v>0.9</x:v>
      </x:c>
      <x:c r="G120" s="20" t="n">
        <x:v>1.6</x:v>
      </x:c>
      <x:c r="H120" s="17" t="inlineStr">
        <x:is>
          <x:t xml:space="preserve">x</x:t>
        </x:is>
      </x:c>
      <x:c r="I120" s="17" t="inlineStr">
        <x:is>
          <x:t xml:space="preserve">HIGH_GOOD</x:t>
        </x:is>
      </x:c>
      <x:c r="J120" s="15" t="inlineStr">
        <x:is>
          <x:t xml:space="preserve">https://www.banque-france.fr/fr/publications-et-statistiques/statistiques/fascicules-dindicateurs-sectoriels</x:t>
        </x:is>
      </x:c>
      <x:c r="K120" s="15" t="inlineStr">
        <x:is>
          <x:t xml:space="preserve">Repères génériques. À adapter selon taille/maturité; remplacez par médianes/quartiles sectoriels si disponibles.</x:t>
        </x:is>
      </x:c>
    </x:row>
    <x:row r="121">
      <x:c r="A121" s="17" t="inlineStr">
        <x:is>
          <x:t xml:space="preserve">France|Construction|ROA</x:t>
        </x:is>
      </x:c>
      <x:c r="B121" s="17" t="inlineStr">
        <x:is>
          <x:t xml:space="preserve">France</x:t>
        </x:is>
      </x:c>
      <x:c r="C121" s="17" t="inlineStr">
        <x:is>
          <x:t xml:space="preserve">Construction</x:t>
        </x:is>
      </x:c>
      <x:c r="D121" s="17" t="inlineStr">
        <x:is>
          <x:t xml:space="preserve">ROA</x:t>
        </x:is>
      </x:c>
      <x:c r="E121" s="17" t="inlineStr">
        <x:is>
          <x:t xml:space="preserve">ROA</x:t>
        </x:is>
      </x:c>
      <x:c r="F121" s="18" t="n">
        <x:v>0.02</x:v>
      </x:c>
      <x:c r="G121" s="18" t="n">
        <x:v>0.08</x:v>
      </x:c>
      <x:c r="H121" s="17" t="inlineStr">
        <x:is>
          <x:t xml:space="preserve">%</x:t>
        </x:is>
      </x:c>
      <x:c r="I121" s="17" t="inlineStr">
        <x:is>
          <x:t xml:space="preserve">HIGH_GOOD</x:t>
        </x:is>
      </x:c>
      <x:c r="J121" s="15" t="inlineStr">
        <x:is>
          <x:t xml:space="preserve">https://www.banque-france.fr/fr/publications-et-statistiques/statistiques/fascicules-dindicateurs-sectoriels</x:t>
        </x:is>
      </x:c>
      <x:c r="K121" s="15" t="inlineStr">
        <x:is>
          <x:t xml:space="preserve">Repères génériques. À adapter selon taille/maturité; remplacez par médianes/quartiles sectoriels si disponibles.</x:t>
        </x:is>
      </x:c>
    </x:row>
    <x:row r="122">
      <x:c r="A122" s="17" t="inlineStr">
        <x:is>
          <x:t xml:space="preserve">France|Construction|ROE</x:t>
        </x:is>
      </x:c>
      <x:c r="B122" s="17" t="inlineStr">
        <x:is>
          <x:t xml:space="preserve">France</x:t>
        </x:is>
      </x:c>
      <x:c r="C122" s="17" t="inlineStr">
        <x:is>
          <x:t xml:space="preserve">Construction</x:t>
        </x:is>
      </x:c>
      <x:c r="D122" s="17" t="inlineStr">
        <x:is>
          <x:t xml:space="preserve">ROE</x:t>
        </x:is>
      </x:c>
      <x:c r="E122" s="17" t="inlineStr">
        <x:is>
          <x:t xml:space="preserve">ROE</x:t>
        </x:is>
      </x:c>
      <x:c r="F122" s="18" t="n">
        <x:v>0.08</x:v>
      </x:c>
      <x:c r="G122" s="18" t="n">
        <x:v>0.18</x:v>
      </x:c>
      <x:c r="H122" s="17" t="inlineStr">
        <x:is>
          <x:t xml:space="preserve">%</x:t>
        </x:is>
      </x:c>
      <x:c r="I122" s="17" t="inlineStr">
        <x:is>
          <x:t xml:space="preserve">HIGH_GOOD</x:t>
        </x:is>
      </x:c>
      <x:c r="J122" s="15" t="inlineStr">
        <x:is>
          <x:t xml:space="preserve">https://www.banque-france.fr/fr/publications-et-statistiques/statistiques/fascicules-dindicateurs-sectoriels</x:t>
        </x:is>
      </x:c>
      <x:c r="K122" s="15" t="inlineStr">
        <x:is>
          <x:t xml:space="preserve">Repères génériques. À adapter selon taille/maturité; remplacez par médianes/quartiles sectoriels si disponibles.</x:t>
        </x:is>
      </x:c>
    </x:row>
    <x:row r="123">
      <x:c r="A123" s="17" t="inlineStr">
        <x:is>
          <x:t xml:space="preserve">France|Construction|ROCE</x:t>
        </x:is>
      </x:c>
      <x:c r="B123" s="17" t="inlineStr">
        <x:is>
          <x:t xml:space="preserve">France</x:t>
        </x:is>
      </x:c>
      <x:c r="C123" s="17" t="inlineStr">
        <x:is>
          <x:t xml:space="preserve">Construction</x:t>
        </x:is>
      </x:c>
      <x:c r="D123" s="17" t="inlineStr">
        <x:is>
          <x:t xml:space="preserve">ROCE</x:t>
        </x:is>
      </x:c>
      <x:c r="E123" s="17" t="inlineStr">
        <x:is>
          <x:t xml:space="preserve">ROCE</x:t>
        </x:is>
      </x:c>
      <x:c r="F123" s="18" t="n">
        <x:v>0.08</x:v>
      </x:c>
      <x:c r="G123" s="18" t="n">
        <x:v>0.2</x:v>
      </x:c>
      <x:c r="H123" s="17" t="inlineStr">
        <x:is>
          <x:t xml:space="preserve">%</x:t>
        </x:is>
      </x:c>
      <x:c r="I123" s="17" t="inlineStr">
        <x:is>
          <x:t xml:space="preserve">HIGH_GOOD</x:t>
        </x:is>
      </x:c>
      <x:c r="J123" s="15" t="inlineStr">
        <x:is>
          <x:t xml:space="preserve">https://www.banque-france.fr/fr/publications-et-statistiques/statistiques/fascicules-dindicateurs-sectoriels</x:t>
        </x:is>
      </x:c>
      <x:c r="K123" s="15" t="inlineStr">
        <x:is>
          <x:t xml:space="preserve">Repères génériques. À adapter selon taille/maturité; remplacez par médianes/quartiles sectoriels si disponibles.</x:t>
        </x:is>
      </x:c>
    </x:row>
    <x:row r="124">
      <x:c r="A124" s="17" t="inlineStr">
        <x:is>
          <x:t xml:space="preserve">Belgique|Industrie|M_GROSS</x:t>
        </x:is>
      </x:c>
      <x:c r="B124" s="17" t="inlineStr">
        <x:is>
          <x:t xml:space="preserve">Belgique</x:t>
        </x:is>
      </x:c>
      <x:c r="C124" s="17" t="inlineStr">
        <x:is>
          <x:t xml:space="preserve">Industrie</x:t>
        </x:is>
      </x:c>
      <x:c r="D124" s="17" t="inlineStr">
        <x:is>
          <x:t xml:space="preserve">M_GROSS</x:t>
        </x:is>
      </x:c>
      <x:c r="E124" s="17" t="inlineStr">
        <x:is>
          <x:t xml:space="preserve">Marge brute</x:t>
        </x:is>
      </x:c>
      <x:c r="F124" s="18" t="n">
        <x:v>0.2</x:v>
      </x:c>
      <x:c r="G124" s="18" t="n">
        <x:v>0.45</x:v>
      </x:c>
      <x:c r="H124" s="17" t="inlineStr">
        <x:is>
          <x:t xml:space="preserve">%</x:t>
        </x:is>
      </x:c>
      <x:c r="I124" s="17" t="inlineStr">
        <x:is>
          <x:t xml:space="preserve">HIGH_GOOD</x:t>
        </x:is>
      </x:c>
      <x:c r="J124" s="15" t="inlineStr">
        <x:is>
          <x:t xml:space="preserve">https://www.nbb.be/en/central-balance-sheet-office/consultation/statistics-annual-accounts-nbbstat</x:t>
        </x:is>
      </x:c>
      <x:c r="K124" s="15" t="inlineStr">
        <x:is>
          <x:t xml:space="preserve">Repères génériques. À adapter selon taille/maturité; remplacez par médianes/quartiles sectoriels si disponibles.</x:t>
        </x:is>
      </x:c>
    </x:row>
    <x:row r="125">
      <x:c r="A125" s="17" t="inlineStr">
        <x:is>
          <x:t xml:space="preserve">Belgique|Industrie|M_EBITDA</x:t>
        </x:is>
      </x:c>
      <x:c r="B125" s="17" t="inlineStr">
        <x:is>
          <x:t xml:space="preserve">Belgique</x:t>
        </x:is>
      </x:c>
      <x:c r="C125" s="17" t="inlineStr">
        <x:is>
          <x:t xml:space="preserve">Industrie</x:t>
        </x:is>
      </x:c>
      <x:c r="D125" s="17" t="inlineStr">
        <x:is>
          <x:t xml:space="preserve">M_EBITDA</x:t>
        </x:is>
      </x:c>
      <x:c r="E125" s="17" t="inlineStr">
        <x:is>
          <x:t xml:space="preserve">Marge EBITDA</x:t>
        </x:is>
      </x:c>
      <x:c r="F125" s="18" t="n">
        <x:v>0.1</x:v>
      </x:c>
      <x:c r="G125" s="18" t="n">
        <x:v>0.22</x:v>
      </x:c>
      <x:c r="H125" s="17" t="inlineStr">
        <x:is>
          <x:t xml:space="preserve">%</x:t>
        </x:is>
      </x:c>
      <x:c r="I125" s="17" t="inlineStr">
        <x:is>
          <x:t xml:space="preserve">HIGH_GOOD</x:t>
        </x:is>
      </x:c>
      <x:c r="J125" s="15" t="inlineStr">
        <x:is>
          <x:t xml:space="preserve">https://www.nbb.be/en/central-balance-sheet-office/consultation/statistics-annual-accounts-nbbstat</x:t>
        </x:is>
      </x:c>
      <x:c r="K125" s="15" t="inlineStr">
        <x:is>
          <x:t xml:space="preserve">Repères génériques. À adapter selon taille/maturité; remplacez par médianes/quartiles sectoriels si disponibles.</x:t>
        </x:is>
      </x:c>
    </x:row>
    <x:row r="126">
      <x:c r="A126" s="17" t="inlineStr">
        <x:is>
          <x:t xml:space="preserve">Belgique|Industrie|M_EBIT</x:t>
        </x:is>
      </x:c>
      <x:c r="B126" s="17" t="inlineStr">
        <x:is>
          <x:t xml:space="preserve">Belgique</x:t>
        </x:is>
      </x:c>
      <x:c r="C126" s="17" t="inlineStr">
        <x:is>
          <x:t xml:space="preserve">Industrie</x:t>
        </x:is>
      </x:c>
      <x:c r="D126" s="17" t="inlineStr">
        <x:is>
          <x:t xml:space="preserve">M_EBIT</x:t>
        </x:is>
      </x:c>
      <x:c r="E126" s="17" t="inlineStr">
        <x:is>
          <x:t xml:space="preserve">Marge EBIT</x:t>
        </x:is>
      </x:c>
      <x:c r="F126" s="18" t="n">
        <x:v>0.06</x:v>
      </x:c>
      <x:c r="G126" s="18" t="n">
        <x:v>0.15</x:v>
      </x:c>
      <x:c r="H126" s="17" t="inlineStr">
        <x:is>
          <x:t xml:space="preserve">%</x:t>
        </x:is>
      </x:c>
      <x:c r="I126" s="17" t="inlineStr">
        <x:is>
          <x:t xml:space="preserve">HIGH_GOOD</x:t>
        </x:is>
      </x:c>
      <x:c r="J126" s="15" t="inlineStr">
        <x:is>
          <x:t xml:space="preserve">https://www.nbb.be/en/central-balance-sheet-office/consultation/statistics-annual-accounts-nbbstat</x:t>
        </x:is>
      </x:c>
      <x:c r="K126" s="15" t="inlineStr">
        <x:is>
          <x:t xml:space="preserve">Repères génériques. À adapter selon taille/maturité; remplacez par médianes/quartiles sectoriels si disponibles.</x:t>
        </x:is>
      </x:c>
    </x:row>
    <x:row r="127">
      <x:c r="A127" s="17" t="inlineStr">
        <x:is>
          <x:t xml:space="preserve">Belgique|Industrie|M_NET</x:t>
        </x:is>
      </x:c>
      <x:c r="B127" s="17" t="inlineStr">
        <x:is>
          <x:t xml:space="preserve">Belgique</x:t>
        </x:is>
      </x:c>
      <x:c r="C127" s="17" t="inlineStr">
        <x:is>
          <x:t xml:space="preserve">Industrie</x:t>
        </x:is>
      </x:c>
      <x:c r="D127" s="17" t="inlineStr">
        <x:is>
          <x:t xml:space="preserve">M_NET</x:t>
        </x:is>
      </x:c>
      <x:c r="E127" s="17" t="inlineStr">
        <x:is>
          <x:t xml:space="preserve">Marge nette</x:t>
        </x:is>
      </x:c>
      <x:c r="F127" s="18" t="n">
        <x:v>0.03</x:v>
      </x:c>
      <x:c r="G127" s="18" t="n">
        <x:v>0.1</x:v>
      </x:c>
      <x:c r="H127" s="17" t="inlineStr">
        <x:is>
          <x:t xml:space="preserve">%</x:t>
        </x:is>
      </x:c>
      <x:c r="I127" s="17" t="inlineStr">
        <x:is>
          <x:t xml:space="preserve">HIGH_GOOD</x:t>
        </x:is>
      </x:c>
      <x:c r="J127" s="15" t="inlineStr">
        <x:is>
          <x:t xml:space="preserve">https://www.nbb.be/en/central-balance-sheet-office/consultation/statistics-annual-accounts-nbbstat</x:t>
        </x:is>
      </x:c>
      <x:c r="K127" s="15" t="inlineStr">
        <x:is>
          <x:t xml:space="preserve">Repères génériques. À adapter selon taille/maturité; remplacez par médianes/quartiles sectoriels si disponibles.</x:t>
        </x:is>
      </x:c>
    </x:row>
    <x:row r="128">
      <x:c r="A128" s="17" t="inlineStr">
        <x:is>
          <x:t xml:space="preserve">Belgique|Industrie|G_REV</x:t>
        </x:is>
      </x:c>
      <x:c r="B128" s="17" t="inlineStr">
        <x:is>
          <x:t xml:space="preserve">Belgique</x:t>
        </x:is>
      </x:c>
      <x:c r="C128" s="17" t="inlineStr">
        <x:is>
          <x:t xml:space="preserve">Industrie</x:t>
        </x:is>
      </x:c>
      <x:c r="D128" s="17" t="inlineStr">
        <x:is>
          <x:t xml:space="preserve">G_REV</x:t>
        </x:is>
      </x:c>
      <x:c r="E128" s="17" t="inlineStr">
        <x:is>
          <x:t xml:space="preserve">Croissance CA</x:t>
        </x:is>
      </x:c>
      <x:c r="F128" s="18" t="n">
        <x:v>-0.05</x:v>
      </x:c>
      <x:c r="G128" s="18" t="n">
        <x:v>0.15</x:v>
      </x:c>
      <x:c r="H128" s="17" t="inlineStr">
        <x:is>
          <x:t xml:space="preserve">%</x:t>
        </x:is>
      </x:c>
      <x:c r="I128" s="17" t="inlineStr">
        <x:is>
          <x:t xml:space="preserve">HIGH_GOOD</x:t>
        </x:is>
      </x:c>
      <x:c r="J128" s="15" t="inlineStr">
        <x:is>
          <x:t xml:space="preserve">https://www.nbb.be/en/central-balance-sheet-office/consultation/statistics-annual-accounts-nbbstat</x:t>
        </x:is>
      </x:c>
      <x:c r="K128" s="15" t="inlineStr">
        <x:is>
          <x:t xml:space="preserve">Repères génériques. À adapter selon taille/maturité; remplacez par médianes/quartiles sectoriels si disponibles.</x:t>
        </x:is>
      </x:c>
    </x:row>
    <x:row r="129">
      <x:c r="A129" s="17" t="inlineStr">
        <x:is>
          <x:t xml:space="preserve">Belgique|Industrie|G_NI</x:t>
        </x:is>
      </x:c>
      <x:c r="B129" s="17" t="inlineStr">
        <x:is>
          <x:t xml:space="preserve">Belgique</x:t>
        </x:is>
      </x:c>
      <x:c r="C129" s="17" t="inlineStr">
        <x:is>
          <x:t xml:space="preserve">Industrie</x:t>
        </x:is>
      </x:c>
      <x:c r="D129" s="17" t="inlineStr">
        <x:is>
          <x:t xml:space="preserve">G_NI</x:t>
        </x:is>
      </x:c>
      <x:c r="E129" s="17" t="inlineStr">
        <x:is>
          <x:t xml:space="preserve">Croissance RN</x:t>
        </x:is>
      </x:c>
      <x:c r="F129" s="18" t="n">
        <x:v>-0.1</x:v>
      </x:c>
      <x:c r="G129" s="18" t="n">
        <x:v>0.2</x:v>
      </x:c>
      <x:c r="H129" s="17" t="inlineStr">
        <x:is>
          <x:t xml:space="preserve">%</x:t>
        </x:is>
      </x:c>
      <x:c r="I129" s="17" t="inlineStr">
        <x:is>
          <x:t xml:space="preserve">HIGH_GOOD</x:t>
        </x:is>
      </x:c>
      <x:c r="J129" s="15" t="inlineStr">
        <x:is>
          <x:t xml:space="preserve">https://www.nbb.be/en/central-balance-sheet-office/consultation/statistics-annual-accounts-nbbstat</x:t>
        </x:is>
      </x:c>
      <x:c r="K129" s="15" t="inlineStr">
        <x:is>
          <x:t xml:space="preserve">Repères génériques. À adapter selon taille/maturité; remplacez par médianes/quartiles sectoriels si disponibles.</x:t>
        </x:is>
      </x:c>
    </x:row>
    <x:row r="130">
      <x:c r="A130" s="17" t="inlineStr">
        <x:is>
          <x:t xml:space="preserve">Belgique|Industrie|D_INV</x:t>
        </x:is>
      </x:c>
      <x:c r="B130" s="17" t="inlineStr">
        <x:is>
          <x:t xml:space="preserve">Belgique</x:t>
        </x:is>
      </x:c>
      <x:c r="C130" s="17" t="inlineStr">
        <x:is>
          <x:t xml:space="preserve">Industrie</x:t>
        </x:is>
      </x:c>
      <x:c r="D130" s="17" t="inlineStr">
        <x:is>
          <x:t xml:space="preserve">D_INV</x:t>
        </x:is>
      </x:c>
      <x:c r="E130" s="17" t="inlineStr">
        <x:is>
          <x:t xml:space="preserve">Jours de stocks</x:t>
        </x:is>
      </x:c>
      <x:c r="F130" s="26" t="n">
        <x:v>30</x:v>
      </x:c>
      <x:c r="G130" s="26" t="n">
        <x:v>90</x:v>
      </x:c>
      <x:c r="H130" s="17" t="inlineStr">
        <x:is>
          <x:t xml:space="preserve">jours</x:t>
        </x:is>
      </x:c>
      <x:c r="I130" s="17" t="inlineStr">
        <x:is>
          <x:t xml:space="preserve">LOW_GOOD</x:t>
        </x:is>
      </x:c>
      <x:c r="J130" s="15" t="inlineStr">
        <x:is>
          <x:t xml:space="preserve">https://www.nbb.be/en/central-balance-sheet-office/consultation/statistics-annual-accounts-nbbstat</x:t>
        </x:is>
      </x:c>
      <x:c r="K130" s="15" t="inlineStr">
        <x:is>
          <x:t xml:space="preserve">Repères génériques. À adapter selon taille/maturité; remplacez par médianes/quartiles sectoriels si disponibles.</x:t>
        </x:is>
      </x:c>
    </x:row>
    <x:row r="131">
      <x:c r="A131" s="17" t="inlineStr">
        <x:is>
          <x:t xml:space="preserve">Belgique|Industrie|DSO</x:t>
        </x:is>
      </x:c>
      <x:c r="B131" s="17" t="inlineStr">
        <x:is>
          <x:t xml:space="preserve">Belgique</x:t>
        </x:is>
      </x:c>
      <x:c r="C131" s="17" t="inlineStr">
        <x:is>
          <x:t xml:space="preserve">Industrie</x:t>
        </x:is>
      </x:c>
      <x:c r="D131" s="17" t="inlineStr">
        <x:is>
          <x:t xml:space="preserve">DSO</x:t>
        </x:is>
      </x:c>
      <x:c r="E131" s="17" t="inlineStr">
        <x:is>
          <x:t xml:space="preserve">DSO (jours clients)</x:t>
        </x:is>
      </x:c>
      <x:c r="F131" s="26" t="n">
        <x:v>35</x:v>
      </x:c>
      <x:c r="G131" s="26" t="n">
        <x:v>70</x:v>
      </x:c>
      <x:c r="H131" s="17" t="inlineStr">
        <x:is>
          <x:t xml:space="preserve">jours</x:t>
        </x:is>
      </x:c>
      <x:c r="I131" s="17" t="inlineStr">
        <x:is>
          <x:t xml:space="preserve">LOW_GOOD</x:t>
        </x:is>
      </x:c>
      <x:c r="J131" s="15" t="inlineStr">
        <x:is>
          <x:t xml:space="preserve">https://www.nbb.be/en/central-balance-sheet-office/consultation/statistics-annual-accounts-nbbstat</x:t>
        </x:is>
      </x:c>
      <x:c r="K131" s="15" t="inlineStr">
        <x:is>
          <x:t xml:space="preserve">Repère. Délais B2B encadrés (max ~60 jours sauf accords).</x:t>
        </x:is>
      </x:c>
    </x:row>
    <x:row r="132">
      <x:c r="A132" s="17" t="inlineStr">
        <x:is>
          <x:t xml:space="preserve">Belgique|Industrie|DPO</x:t>
        </x:is>
      </x:c>
      <x:c r="B132" s="17" t="inlineStr">
        <x:is>
          <x:t xml:space="preserve">Belgique</x:t>
        </x:is>
      </x:c>
      <x:c r="C132" s="17" t="inlineStr">
        <x:is>
          <x:t xml:space="preserve">Industrie</x:t>
        </x:is>
      </x:c>
      <x:c r="D132" s="17" t="inlineStr">
        <x:is>
          <x:t xml:space="preserve">DPO</x:t>
        </x:is>
      </x:c>
      <x:c r="E132" s="17" t="inlineStr">
        <x:is>
          <x:t xml:space="preserve">DPO (jours fournisseurs)</x:t>
        </x:is>
      </x:c>
      <x:c r="F132" s="26" t="n">
        <x:v>40</x:v>
      </x:c>
      <x:c r="G132" s="26" t="n">
        <x:v>90</x:v>
      </x:c>
      <x:c r="H132" s="17" t="inlineStr">
        <x:is>
          <x:t xml:space="preserve">jours</x:t>
        </x:is>
      </x:c>
      <x:c r="I132" s="17" t="inlineStr">
        <x:is>
          <x:t xml:space="preserve">RANGE</x:t>
        </x:is>
      </x:c>
      <x:c r="J132" s="15" t="inlineStr">
        <x:is>
          <x:t xml:space="preserve">https://www.nbb.be/en/central-balance-sheet-office/consultation/statistics-annual-accounts-nbbstat</x:t>
        </x:is>
      </x:c>
      <x:c r="K132" s="15" t="inlineStr">
        <x:is>
          <x:t xml:space="preserve">Repère. Délais B2B encadrés (max ~60 jours sauf accords).</x:t>
        </x:is>
      </x:c>
    </x:row>
    <x:row r="133">
      <x:c r="A133" s="17" t="inlineStr">
        <x:is>
          <x:t xml:space="preserve">Belgique|Industrie|CCC</x:t>
        </x:is>
      </x:c>
      <x:c r="B133" s="17" t="inlineStr">
        <x:is>
          <x:t xml:space="preserve">Belgique</x:t>
        </x:is>
      </x:c>
      <x:c r="C133" s="17" t="inlineStr">
        <x:is>
          <x:t xml:space="preserve">Industrie</x:t>
        </x:is>
      </x:c>
      <x:c r="D133" s="17" t="inlineStr">
        <x:is>
          <x:t xml:space="preserve">CCC</x:t>
        </x:is>
      </x:c>
      <x:c r="E133" s="17" t="inlineStr">
        <x:is>
          <x:t xml:space="preserve">Cycle de conversion cash (jours)</x:t>
        </x:is>
      </x:c>
      <x:c r="F133" s="26" t="n">
        <x:v>0</x:v>
      </x:c>
      <x:c r="G133" s="26" t="n">
        <x:v>60</x:v>
      </x:c>
      <x:c r="H133" s="17" t="inlineStr">
        <x:is>
          <x:t xml:space="preserve">jours</x:t>
        </x:is>
      </x:c>
      <x:c r="I133" s="17" t="inlineStr">
        <x:is>
          <x:t xml:space="preserve">LOW_GOOD</x:t>
        </x:is>
      </x:c>
      <x:c r="J133" s="15" t="inlineStr">
        <x:is>
          <x:t xml:space="preserve">https://www.nbb.be/en/central-balance-sheet-office/consultation/statistics-annual-accounts-nbbstat</x:t>
        </x:is>
      </x:c>
      <x:c r="K133" s="15" t="inlineStr">
        <x:is>
          <x:t xml:space="preserve">Repères génériques. À adapter selon taille/maturité; remplacez par médianes/quartiles sectoriels si disponibles.</x:t>
        </x:is>
      </x:c>
    </x:row>
    <x:row r="134">
      <x:c r="A134" s="17" t="inlineStr">
        <x:is>
          <x:t xml:space="preserve">Belgique|Industrie|BFR_REV</x:t>
        </x:is>
      </x:c>
      <x:c r="B134" s="17" t="inlineStr">
        <x:is>
          <x:t xml:space="preserve">Belgique</x:t>
        </x:is>
      </x:c>
      <x:c r="C134" s="17" t="inlineStr">
        <x:is>
          <x:t xml:space="preserve">Industrie</x:t>
        </x:is>
      </x:c>
      <x:c r="D134" s="17" t="inlineStr">
        <x:is>
          <x:t xml:space="preserve">BFR_REV</x:t>
        </x:is>
      </x:c>
      <x:c r="E134" s="17" t="inlineStr">
        <x:is>
          <x:t xml:space="preserve">BFR / CA</x:t>
        </x:is>
      </x:c>
      <x:c r="F134" s="18" t="n">
        <x:v>-0.05</x:v>
      </x:c>
      <x:c r="G134" s="18" t="n">
        <x:v>0.2</x:v>
      </x:c>
      <x:c r="H134" s="17" t="inlineStr">
        <x:is>
          <x:t xml:space="preserve">%</x:t>
        </x:is>
      </x:c>
      <x:c r="I134" s="17" t="inlineStr">
        <x:is>
          <x:t xml:space="preserve">RANGE</x:t>
        </x:is>
      </x:c>
      <x:c r="J134" s="15" t="inlineStr">
        <x:is>
          <x:t xml:space="preserve">https://www.nbb.be/en/central-balance-sheet-office/consultation/statistics-annual-accounts-nbbstat</x:t>
        </x:is>
      </x:c>
      <x:c r="K134" s="15" t="inlineStr">
        <x:is>
          <x:t xml:space="preserve">Repères génériques. À adapter selon taille/maturité; remplacez par médianes/quartiles sectoriels si disponibles.</x:t>
        </x:is>
      </x:c>
    </x:row>
    <x:row r="135">
      <x:c r="A135" s="17" t="inlineStr">
        <x:is>
          <x:t xml:space="preserve">Belgique|Industrie|EQ_RATIO</x:t>
        </x:is>
      </x:c>
      <x:c r="B135" s="17" t="inlineStr">
        <x:is>
          <x:t xml:space="preserve">Belgique</x:t>
        </x:is>
      </x:c>
      <x:c r="C135" s="17" t="inlineStr">
        <x:is>
          <x:t xml:space="preserve">Industrie</x:t>
        </x:is>
      </x:c>
      <x:c r="D135" s="17" t="inlineStr">
        <x:is>
          <x:t xml:space="preserve">EQ_RATIO</x:t>
        </x:is>
      </x:c>
      <x:c r="E135" s="17" t="inlineStr">
        <x:is>
          <x:t xml:space="preserve">Autonomie financière (CP/Total bilan)</x:t>
        </x:is>
      </x:c>
      <x:c r="F135" s="18" t="n">
        <x:v>0.3</x:v>
      </x:c>
      <x:c r="G135" s="18" t="n">
        <x:v>0.6</x:v>
      </x:c>
      <x:c r="H135" s="17" t="inlineStr">
        <x:is>
          <x:t xml:space="preserve">%</x:t>
        </x:is>
      </x:c>
      <x:c r="I135" s="17" t="inlineStr">
        <x:is>
          <x:t xml:space="preserve">HIGH_GOOD</x:t>
        </x:is>
      </x:c>
      <x:c r="J135" s="15" t="inlineStr">
        <x:is>
          <x:t xml:space="preserve">https://www.nbb.be/en/central-balance-sheet-office/consultation/statistics-annual-accounts-nbbstat</x:t>
        </x:is>
      </x:c>
      <x:c r="K135" s="15" t="inlineStr">
        <x:is>
          <x:t xml:space="preserve">Repères génériques. À adapter selon taille/maturité; remplacez par médianes/quartiles sectoriels si disponibles.</x:t>
        </x:is>
      </x:c>
    </x:row>
    <x:row r="136">
      <x:c r="A136" s="17" t="inlineStr">
        <x:is>
          <x:t xml:space="preserve">Belgique|Industrie|GEARING</x:t>
        </x:is>
      </x:c>
      <x:c r="B136" s="17" t="inlineStr">
        <x:is>
          <x:t xml:space="preserve">Belgique</x:t>
        </x:is>
      </x:c>
      <x:c r="C136" s="17" t="inlineStr">
        <x:is>
          <x:t xml:space="preserve">Industrie</x:t>
        </x:is>
      </x:c>
      <x:c r="D136" s="17" t="inlineStr">
        <x:is>
          <x:t xml:space="preserve">GEARING</x:t>
        </x:is>
      </x:c>
      <x:c r="E136" s="17" t="inlineStr">
        <x:is>
          <x:t xml:space="preserve">Gearing (Dette nette/CP)</x:t>
        </x:is>
      </x:c>
      <x:c r="F136" s="20" t="n">
        <x:v>0</x:v>
      </x:c>
      <x:c r="G136" s="20" t="n">
        <x:v>1</x:v>
      </x:c>
      <x:c r="H136" s="17" t="inlineStr">
        <x:is>
          <x:t xml:space="preserve">x</x:t>
        </x:is>
      </x:c>
      <x:c r="I136" s="17" t="inlineStr">
        <x:is>
          <x:t xml:space="preserve">LOW_GOOD</x:t>
        </x:is>
      </x:c>
      <x:c r="J136" s="15" t="inlineStr">
        <x:is>
          <x:t xml:space="preserve">https://www.nbb.be/en/central-balance-sheet-office/consultation/statistics-annual-accounts-nbbstat</x:t>
        </x:is>
      </x:c>
      <x:c r="K136" s="15" t="inlineStr">
        <x:is>
          <x:t xml:space="preserve">Repères génériques. À adapter selon taille/maturité; remplacez par médianes/quartiles sectoriels si disponibles.</x:t>
        </x:is>
      </x:c>
    </x:row>
    <x:row r="137">
      <x:c r="A137" s="17" t="inlineStr">
        <x:is>
          <x:t xml:space="preserve">Belgique|Industrie|CURR</x:t>
        </x:is>
      </x:c>
      <x:c r="B137" s="17" t="inlineStr">
        <x:is>
          <x:t xml:space="preserve">Belgique</x:t>
        </x:is>
      </x:c>
      <x:c r="C137" s="17" t="inlineStr">
        <x:is>
          <x:t xml:space="preserve">Industrie</x:t>
        </x:is>
      </x:c>
      <x:c r="D137" s="17" t="inlineStr">
        <x:is>
          <x:t xml:space="preserve">CURR</x:t>
        </x:is>
      </x:c>
      <x:c r="E137" s="17" t="inlineStr">
        <x:is>
          <x:t xml:space="preserve">Current ratio</x:t>
        </x:is>
      </x:c>
      <x:c r="F137" s="20" t="n">
        <x:v>1.2</x:v>
      </x:c>
      <x:c r="G137" s="20" t="n">
        <x:v>2.2</x:v>
      </x:c>
      <x:c r="H137" s="17" t="inlineStr">
        <x:is>
          <x:t xml:space="preserve">x</x:t>
        </x:is>
      </x:c>
      <x:c r="I137" s="17" t="inlineStr">
        <x:is>
          <x:t xml:space="preserve">RANGE</x:t>
        </x:is>
      </x:c>
      <x:c r="J137" s="15" t="inlineStr">
        <x:is>
          <x:t xml:space="preserve">https://www.nbb.be/en/central-balance-sheet-office/consultation/statistics-annual-accounts-nbbstat</x:t>
        </x:is>
      </x:c>
      <x:c r="K137" s="15" t="inlineStr">
        <x:is>
          <x:t xml:space="preserve">Repères génériques. À adapter selon taille/maturité; remplacez par médianes/quartiles sectoriels si disponibles.</x:t>
        </x:is>
      </x:c>
    </x:row>
    <x:row r="138">
      <x:c r="A138" s="17" t="inlineStr">
        <x:is>
          <x:t xml:space="preserve">Belgique|Industrie|QUICK</x:t>
        </x:is>
      </x:c>
      <x:c r="B138" s="17" t="inlineStr">
        <x:is>
          <x:t xml:space="preserve">Belgique</x:t>
        </x:is>
      </x:c>
      <x:c r="C138" s="17" t="inlineStr">
        <x:is>
          <x:t xml:space="preserve">Industrie</x:t>
        </x:is>
      </x:c>
      <x:c r="D138" s="17" t="inlineStr">
        <x:is>
          <x:t xml:space="preserve">QUICK</x:t>
        </x:is>
      </x:c>
      <x:c r="E138" s="17" t="inlineStr">
        <x:is>
          <x:t xml:space="preserve">Quick ratio</x:t>
        </x:is>
      </x:c>
      <x:c r="F138" s="20" t="n">
        <x:v>0.9</x:v>
      </x:c>
      <x:c r="G138" s="20" t="n">
        <x:v>1.6</x:v>
      </x:c>
      <x:c r="H138" s="17" t="inlineStr">
        <x:is>
          <x:t xml:space="preserve">x</x:t>
        </x:is>
      </x:c>
      <x:c r="I138" s="17" t="inlineStr">
        <x:is>
          <x:t xml:space="preserve">RANGE</x:t>
        </x:is>
      </x:c>
      <x:c r="J138" s="15" t="inlineStr">
        <x:is>
          <x:t xml:space="preserve">https://www.nbb.be/en/central-balance-sheet-office/consultation/statistics-annual-accounts-nbbstat</x:t>
        </x:is>
      </x:c>
      <x:c r="K138" s="15" t="inlineStr">
        <x:is>
          <x:t xml:space="preserve">Repères génériques. À adapter selon taille/maturité; remplacez par médianes/quartiles sectoriels si disponibles.</x:t>
        </x:is>
      </x:c>
    </x:row>
    <x:row r="139">
      <x:c r="A139" s="17" t="inlineStr">
        <x:is>
          <x:t xml:space="preserve">Belgique|Industrie|CASHR</x:t>
        </x:is>
      </x:c>
      <x:c r="B139" s="17" t="inlineStr">
        <x:is>
          <x:t xml:space="preserve">Belgique</x:t>
        </x:is>
      </x:c>
      <x:c r="C139" s="17" t="inlineStr">
        <x:is>
          <x:t xml:space="preserve">Industrie</x:t>
        </x:is>
      </x:c>
      <x:c r="D139" s="17" t="inlineStr">
        <x:is>
          <x:t xml:space="preserve">CASHR</x:t>
        </x:is>
      </x:c>
      <x:c r="E139" s="17" t="inlineStr">
        <x:is>
          <x:t xml:space="preserve">Cash ratio</x:t>
        </x:is>
      </x:c>
      <x:c r="F139" s="20" t="n">
        <x:v>0.2</x:v>
      </x:c>
      <x:c r="G139" s="20" t="n">
        <x:v>0.8</x:v>
      </x:c>
      <x:c r="H139" s="17" t="inlineStr">
        <x:is>
          <x:t xml:space="preserve">x</x:t>
        </x:is>
      </x:c>
      <x:c r="I139" s="17" t="inlineStr">
        <x:is>
          <x:t xml:space="preserve">RANGE</x:t>
        </x:is>
      </x:c>
      <x:c r="J139" s="15" t="inlineStr">
        <x:is>
          <x:t xml:space="preserve">https://www.nbb.be/en/central-balance-sheet-office/consultation/statistics-annual-accounts-nbbstat</x:t>
        </x:is>
      </x:c>
      <x:c r="K139" s="15" t="inlineStr">
        <x:is>
          <x:t xml:space="preserve">Repères génériques. À adapter selon taille/maturité; remplacez par médianes/quartiles sectoriels si disponibles.</x:t>
        </x:is>
      </x:c>
    </x:row>
    <x:row r="140">
      <x:c r="A140" s="17" t="inlineStr">
        <x:is>
          <x:t xml:space="preserve">Belgique|Industrie|ND_EBITDA</x:t>
        </x:is>
      </x:c>
      <x:c r="B140" s="17" t="inlineStr">
        <x:is>
          <x:t xml:space="preserve">Belgique</x:t>
        </x:is>
      </x:c>
      <x:c r="C140" s="17" t="inlineStr">
        <x:is>
          <x:t xml:space="preserve">Industrie</x:t>
        </x:is>
      </x:c>
      <x:c r="D140" s="17" t="inlineStr">
        <x:is>
          <x:t xml:space="preserve">ND_EBITDA</x:t>
        </x:is>
      </x:c>
      <x:c r="E140" s="17" t="inlineStr">
        <x:is>
          <x:t xml:space="preserve">Dette nette / EBITDA</x:t>
        </x:is>
      </x:c>
      <x:c r="F140" s="20" t="n">
        <x:v>0</x:v>
      </x:c>
      <x:c r="G140" s="20" t="n">
        <x:v>3</x:v>
      </x:c>
      <x:c r="H140" s="17" t="inlineStr">
        <x:is>
          <x:t xml:space="preserve">x</x:t>
        </x:is>
      </x:c>
      <x:c r="I140" s="17" t="inlineStr">
        <x:is>
          <x:t xml:space="preserve">LOW_GOOD</x:t>
        </x:is>
      </x:c>
      <x:c r="J140" s="15" t="inlineStr">
        <x:is>
          <x:t xml:space="preserve">https://www.nbb.be/en/central-balance-sheet-office/consultation/statistics-annual-accounts-nbbstat</x:t>
        </x:is>
      </x:c>
      <x:c r="K140" s="15" t="inlineStr">
        <x:is>
          <x:t xml:space="preserve">Repères génériques. À adapter selon taille/maturité; remplacez par médianes/quartiles sectoriels si disponibles.</x:t>
        </x:is>
      </x:c>
    </x:row>
    <x:row r="141">
      <x:c r="A141" s="17" t="inlineStr">
        <x:is>
          <x:t xml:space="preserve">Belgique|Industrie|D_E</x:t>
        </x:is>
      </x:c>
      <x:c r="B141" s="17" t="inlineStr">
        <x:is>
          <x:t xml:space="preserve">Belgique</x:t>
        </x:is>
      </x:c>
      <x:c r="C141" s="17" t="inlineStr">
        <x:is>
          <x:t xml:space="preserve">Industrie</x:t>
        </x:is>
      </x:c>
      <x:c r="D141" s="17" t="inlineStr">
        <x:is>
          <x:t xml:space="preserve">D_E</x:t>
        </x:is>
      </x:c>
      <x:c r="E141" s="17" t="inlineStr">
        <x:is>
          <x:t xml:space="preserve">Dette / CP</x:t>
        </x:is>
      </x:c>
      <x:c r="F141" s="20" t="n">
        <x:v>0</x:v>
      </x:c>
      <x:c r="G141" s="20" t="n">
        <x:v>1.5</x:v>
      </x:c>
      <x:c r="H141" s="17" t="inlineStr">
        <x:is>
          <x:t xml:space="preserve">x</x:t>
        </x:is>
      </x:c>
      <x:c r="I141" s="17" t="inlineStr">
        <x:is>
          <x:t xml:space="preserve">LOW_GOOD</x:t>
        </x:is>
      </x:c>
      <x:c r="J141" s="15" t="inlineStr">
        <x:is>
          <x:t xml:space="preserve">https://www.nbb.be/en/central-balance-sheet-office/consultation/statistics-annual-accounts-nbbstat</x:t>
        </x:is>
      </x:c>
      <x:c r="K141" s="15" t="inlineStr">
        <x:is>
          <x:t xml:space="preserve">Repères génériques. À adapter selon taille/maturité; remplacez par médianes/quartiles sectoriels si disponibles.</x:t>
        </x:is>
      </x:c>
    </x:row>
    <x:row r="142">
      <x:c r="A142" s="17" t="inlineStr">
        <x:is>
          <x:t xml:space="preserve">Belgique|Industrie|ICR</x:t>
        </x:is>
      </x:c>
      <x:c r="B142" s="17" t="inlineStr">
        <x:is>
          <x:t xml:space="preserve">Belgique</x:t>
        </x:is>
      </x:c>
      <x:c r="C142" s="17" t="inlineStr">
        <x:is>
          <x:t xml:space="preserve">Industrie</x:t>
        </x:is>
      </x:c>
      <x:c r="D142" s="17" t="inlineStr">
        <x:is>
          <x:t xml:space="preserve">ICR</x:t>
        </x:is>
      </x:c>
      <x:c r="E142" s="17" t="inlineStr">
        <x:is>
          <x:t xml:space="preserve">Couverture intérêts (EBIT/Intérêts)</x:t>
        </x:is>
      </x:c>
      <x:c r="F142" s="20" t="n">
        <x:v>3</x:v>
      </x:c>
      <x:c r="G142" s="20" t="n">
        <x:v>12</x:v>
      </x:c>
      <x:c r="H142" s="17" t="inlineStr">
        <x:is>
          <x:t xml:space="preserve">x</x:t>
        </x:is>
      </x:c>
      <x:c r="I142" s="17" t="inlineStr">
        <x:is>
          <x:t xml:space="preserve">HIGH_GOOD</x:t>
        </x:is>
      </x:c>
      <x:c r="J142" s="15" t="inlineStr">
        <x:is>
          <x:t xml:space="preserve">https://www.nbb.be/en/central-balance-sheet-office/consultation/statistics-annual-accounts-nbbstat</x:t>
        </x:is>
      </x:c>
      <x:c r="K142" s="15" t="inlineStr">
        <x:is>
          <x:t xml:space="preserve">Repères génériques. À adapter selon taille/maturité; remplacez par médianes/quartiles sectoriels si disponibles.</x:t>
        </x:is>
      </x:c>
    </x:row>
    <x:row r="143">
      <x:c r="A143" s="17" t="inlineStr">
        <x:is>
          <x:t xml:space="preserve">Belgique|Industrie|DSCR</x:t>
        </x:is>
      </x:c>
      <x:c r="B143" s="17" t="inlineStr">
        <x:is>
          <x:t xml:space="preserve">Belgique</x:t>
        </x:is>
      </x:c>
      <x:c r="C143" s="17" t="inlineStr">
        <x:is>
          <x:t xml:space="preserve">Industrie</x:t>
        </x:is>
      </x:c>
      <x:c r="D143" s="17" t="inlineStr">
        <x:is>
          <x:t xml:space="preserve">DSCR</x:t>
        </x:is>
      </x:c>
      <x:c r="E143" s="17" t="inlineStr">
        <x:is>
          <x:t xml:space="preserve">DSCR</x:t>
        </x:is>
      </x:c>
      <x:c r="F143" s="20" t="n">
        <x:v>1.2</x:v>
      </x:c>
      <x:c r="G143" s="20" t="n">
        <x:v>3</x:v>
      </x:c>
      <x:c r="H143" s="17" t="inlineStr">
        <x:is>
          <x:t xml:space="preserve">x</x:t>
        </x:is>
      </x:c>
      <x:c r="I143" s="17" t="inlineStr">
        <x:is>
          <x:t xml:space="preserve">HIGH_GOOD</x:t>
        </x:is>
      </x:c>
      <x:c r="J143" s="15" t="inlineStr">
        <x:is>
          <x:t xml:space="preserve">https://www.nbb.be/en/central-balance-sheet-office/consultation/statistics-annual-accounts-nbbstat</x:t>
        </x:is>
      </x:c>
      <x:c r="K143" s="15" t="inlineStr">
        <x:is>
          <x:t xml:space="preserve">Repères génériques. À adapter selon taille/maturité; remplacez par médianes/quartiles sectoriels si disponibles.</x:t>
        </x:is>
      </x:c>
    </x:row>
    <x:row r="144">
      <x:c r="A144" s="17" t="inlineStr">
        <x:is>
          <x:t xml:space="preserve">Belgique|Industrie|CFO_NI</x:t>
        </x:is>
      </x:c>
      <x:c r="B144" s="17" t="inlineStr">
        <x:is>
          <x:t xml:space="preserve">Belgique</x:t>
        </x:is>
      </x:c>
      <x:c r="C144" s="17" t="inlineStr">
        <x:is>
          <x:t xml:space="preserve">Industrie</x:t>
        </x:is>
      </x:c>
      <x:c r="D144" s="17" t="inlineStr">
        <x:is>
          <x:t xml:space="preserve">CFO_NI</x:t>
        </x:is>
      </x:c>
      <x:c r="E144" s="17" t="inlineStr">
        <x:is>
          <x:t xml:space="preserve">CFO / RN</x:t>
        </x:is>
      </x:c>
      <x:c r="F144" s="20" t="n">
        <x:v>0.9</x:v>
      </x:c>
      <x:c r="G144" s="20" t="n">
        <x:v>1.5</x:v>
      </x:c>
      <x:c r="H144" s="17" t="inlineStr">
        <x:is>
          <x:t xml:space="preserve">x</x:t>
        </x:is>
      </x:c>
      <x:c r="I144" s="17" t="inlineStr">
        <x:is>
          <x:t xml:space="preserve">HIGH_GOOD</x:t>
        </x:is>
      </x:c>
      <x:c r="J144" s="15" t="inlineStr">
        <x:is>
          <x:t xml:space="preserve">https://www.nbb.be/en/central-balance-sheet-office/consultation/statistics-annual-accounts-nbbstat</x:t>
        </x:is>
      </x:c>
      <x:c r="K144" s="15" t="inlineStr">
        <x:is>
          <x:t xml:space="preserve">Repères génériques. À adapter selon taille/maturité; remplacez par médianes/quartiles sectoriels si disponibles.</x:t>
        </x:is>
      </x:c>
    </x:row>
    <x:row r="145">
      <x:c r="A145" s="17" t="inlineStr">
        <x:is>
          <x:t xml:space="preserve">Belgique|Industrie|ROA</x:t>
        </x:is>
      </x:c>
      <x:c r="B145" s="17" t="inlineStr">
        <x:is>
          <x:t xml:space="preserve">Belgique</x:t>
        </x:is>
      </x:c>
      <x:c r="C145" s="17" t="inlineStr">
        <x:is>
          <x:t xml:space="preserve">Industrie</x:t>
        </x:is>
      </x:c>
      <x:c r="D145" s="17" t="inlineStr">
        <x:is>
          <x:t xml:space="preserve">ROA</x:t>
        </x:is>
      </x:c>
      <x:c r="E145" s="17" t="inlineStr">
        <x:is>
          <x:t xml:space="preserve">ROA</x:t>
        </x:is>
      </x:c>
      <x:c r="F145" s="18" t="n">
        <x:v>0.03</x:v>
      </x:c>
      <x:c r="G145" s="18" t="n">
        <x:v>0.1</x:v>
      </x:c>
      <x:c r="H145" s="17" t="inlineStr">
        <x:is>
          <x:t xml:space="preserve">%</x:t>
        </x:is>
      </x:c>
      <x:c r="I145" s="17" t="inlineStr">
        <x:is>
          <x:t xml:space="preserve">HIGH_GOOD</x:t>
        </x:is>
      </x:c>
      <x:c r="J145" s="15" t="inlineStr">
        <x:is>
          <x:t xml:space="preserve">https://www.nbb.be/en/central-balance-sheet-office/consultation/statistics-annual-accounts-nbbstat</x:t>
        </x:is>
      </x:c>
      <x:c r="K145" s="15" t="inlineStr">
        <x:is>
          <x:t xml:space="preserve">Repères génériques. À adapter selon taille/maturité; remplacez par médianes/quartiles sectoriels si disponibles.</x:t>
        </x:is>
      </x:c>
    </x:row>
    <x:row r="146">
      <x:c r="A146" s="17" t="inlineStr">
        <x:is>
          <x:t xml:space="preserve">Belgique|Industrie|ROE</x:t>
        </x:is>
      </x:c>
      <x:c r="B146" s="17" t="inlineStr">
        <x:is>
          <x:t xml:space="preserve">Belgique</x:t>
        </x:is>
      </x:c>
      <x:c r="C146" s="17" t="inlineStr">
        <x:is>
          <x:t xml:space="preserve">Industrie</x:t>
        </x:is>
      </x:c>
      <x:c r="D146" s="17" t="inlineStr">
        <x:is>
          <x:t xml:space="preserve">ROE</x:t>
        </x:is>
      </x:c>
      <x:c r="E146" s="17" t="inlineStr">
        <x:is>
          <x:t xml:space="preserve">ROE</x:t>
        </x:is>
      </x:c>
      <x:c r="F146" s="18" t="n">
        <x:v>0.08</x:v>
      </x:c>
      <x:c r="G146" s="18" t="n">
        <x:v>0.18</x:v>
      </x:c>
      <x:c r="H146" s="17" t="inlineStr">
        <x:is>
          <x:t xml:space="preserve">%</x:t>
        </x:is>
      </x:c>
      <x:c r="I146" s="17" t="inlineStr">
        <x:is>
          <x:t xml:space="preserve">HIGH_GOOD</x:t>
        </x:is>
      </x:c>
      <x:c r="J146" s="15" t="inlineStr">
        <x:is>
          <x:t xml:space="preserve">https://www.nbb.be/en/central-balance-sheet-office/consultation/statistics-annual-accounts-nbbstat</x:t>
        </x:is>
      </x:c>
      <x:c r="K146" s="15" t="inlineStr">
        <x:is>
          <x:t xml:space="preserve">Repères génériques. À adapter selon taille/maturité; remplacez par médianes/quartiles sectoriels si disponibles.</x:t>
        </x:is>
      </x:c>
    </x:row>
    <x:row r="147">
      <x:c r="A147" s="17" t="inlineStr">
        <x:is>
          <x:t xml:space="preserve">Belgique|Industrie|ROCE</x:t>
        </x:is>
      </x:c>
      <x:c r="B147" s="17" t="inlineStr">
        <x:is>
          <x:t xml:space="preserve">Belgique</x:t>
        </x:is>
      </x:c>
      <x:c r="C147" s="17" t="inlineStr">
        <x:is>
          <x:t xml:space="preserve">Industrie</x:t>
        </x:is>
      </x:c>
      <x:c r="D147" s="17" t="inlineStr">
        <x:is>
          <x:t xml:space="preserve">ROCE</x:t>
        </x:is>
      </x:c>
      <x:c r="E147" s="17" t="inlineStr">
        <x:is>
          <x:t xml:space="preserve">ROCE</x:t>
        </x:is>
      </x:c>
      <x:c r="F147" s="18" t="n">
        <x:v>0.08</x:v>
      </x:c>
      <x:c r="G147" s="18" t="n">
        <x:v>0.2</x:v>
      </x:c>
      <x:c r="H147" s="17" t="inlineStr">
        <x:is>
          <x:t xml:space="preserve">%</x:t>
        </x:is>
      </x:c>
      <x:c r="I147" s="17" t="inlineStr">
        <x:is>
          <x:t xml:space="preserve">HIGH_GOOD</x:t>
        </x:is>
      </x:c>
      <x:c r="J147" s="15" t="inlineStr">
        <x:is>
          <x:t xml:space="preserve">https://www.nbb.be/en/central-balance-sheet-office/consultation/statistics-annual-accounts-nbbstat</x:t>
        </x:is>
      </x:c>
      <x:c r="K147" s="15" t="inlineStr">
        <x:is>
          <x:t xml:space="preserve">Repères génériques. À adapter selon taille/maturité; remplacez par médianes/quartiles sectoriels si disponibles.</x:t>
        </x:is>
      </x:c>
    </x:row>
    <x:row r="148">
      <x:c r="A148" s="17" t="inlineStr">
        <x:is>
          <x:t xml:space="preserve">Belgique|Retail|M_GROSS</x:t>
        </x:is>
      </x:c>
      <x:c r="B148" s="17" t="inlineStr">
        <x:is>
          <x:t xml:space="preserve">Belgique</x:t>
        </x:is>
      </x:c>
      <x:c r="C148" s="17" t="inlineStr">
        <x:is>
          <x:t xml:space="preserve">Retail</x:t>
        </x:is>
      </x:c>
      <x:c r="D148" s="17" t="inlineStr">
        <x:is>
          <x:t xml:space="preserve">M_GROSS</x:t>
        </x:is>
      </x:c>
      <x:c r="E148" s="17" t="inlineStr">
        <x:is>
          <x:t xml:space="preserve">Marge brute</x:t>
        </x:is>
      </x:c>
      <x:c r="F148" s="18" t="n">
        <x:v>0.2</x:v>
      </x:c>
      <x:c r="G148" s="18" t="n">
        <x:v>0.55</x:v>
      </x:c>
      <x:c r="H148" s="17" t="inlineStr">
        <x:is>
          <x:t xml:space="preserve">%</x:t>
        </x:is>
      </x:c>
      <x:c r="I148" s="17" t="inlineStr">
        <x:is>
          <x:t xml:space="preserve">HIGH_GOOD</x:t>
        </x:is>
      </x:c>
      <x:c r="J148" s="15" t="inlineStr">
        <x:is>
          <x:t xml:space="preserve">https://www.nbb.be/en/central-balance-sheet-office/consultation/statistics-annual-accounts-nbbstat</x:t>
        </x:is>
      </x:c>
      <x:c r="K148" s="15" t="inlineStr">
        <x:is>
          <x:t xml:space="preserve">Repères génériques. À adapter selon taille/maturité; remplacez par médianes/quartiles sectoriels si disponibles.</x:t>
        </x:is>
      </x:c>
    </x:row>
    <x:row r="149">
      <x:c r="A149" s="17" t="inlineStr">
        <x:is>
          <x:t xml:space="preserve">Belgique|Retail|M_EBITDA</x:t>
        </x:is>
      </x:c>
      <x:c r="B149" s="17" t="inlineStr">
        <x:is>
          <x:t xml:space="preserve">Belgique</x:t>
        </x:is>
      </x:c>
      <x:c r="C149" s="17" t="inlineStr">
        <x:is>
          <x:t xml:space="preserve">Retail</x:t>
        </x:is>
      </x:c>
      <x:c r="D149" s="17" t="inlineStr">
        <x:is>
          <x:t xml:space="preserve">M_EBITDA</x:t>
        </x:is>
      </x:c>
      <x:c r="E149" s="17" t="inlineStr">
        <x:is>
          <x:t xml:space="preserve">Marge EBITDA</x:t>
        </x:is>
      </x:c>
      <x:c r="F149" s="18" t="n">
        <x:v>0.03</x:v>
      </x:c>
      <x:c r="G149" s="18" t="n">
        <x:v>0.1</x:v>
      </x:c>
      <x:c r="H149" s="17" t="inlineStr">
        <x:is>
          <x:t xml:space="preserve">%</x:t>
        </x:is>
      </x:c>
      <x:c r="I149" s="17" t="inlineStr">
        <x:is>
          <x:t xml:space="preserve">HIGH_GOOD</x:t>
        </x:is>
      </x:c>
      <x:c r="J149" s="15" t="inlineStr">
        <x:is>
          <x:t xml:space="preserve">https://www.nbb.be/en/central-balance-sheet-office/consultation/statistics-annual-accounts-nbbstat</x:t>
        </x:is>
      </x:c>
      <x:c r="K149" s="15" t="inlineStr">
        <x:is>
          <x:t xml:space="preserve">Repères génériques. À adapter selon taille/maturité; remplacez par médianes/quartiles sectoriels si disponibles.</x:t>
        </x:is>
      </x:c>
    </x:row>
    <x:row r="150">
      <x:c r="A150" s="17" t="inlineStr">
        <x:is>
          <x:t xml:space="preserve">Belgique|Retail|M_EBIT</x:t>
        </x:is>
      </x:c>
      <x:c r="B150" s="17" t="inlineStr">
        <x:is>
          <x:t xml:space="preserve">Belgique</x:t>
        </x:is>
      </x:c>
      <x:c r="C150" s="17" t="inlineStr">
        <x:is>
          <x:t xml:space="preserve">Retail</x:t>
        </x:is>
      </x:c>
      <x:c r="D150" s="17" t="inlineStr">
        <x:is>
          <x:t xml:space="preserve">M_EBIT</x:t>
        </x:is>
      </x:c>
      <x:c r="E150" s="17" t="inlineStr">
        <x:is>
          <x:t xml:space="preserve">Marge EBIT</x:t>
        </x:is>
      </x:c>
      <x:c r="F150" s="18" t="n">
        <x:v>0.02</x:v>
      </x:c>
      <x:c r="G150" s="18" t="n">
        <x:v>0.08</x:v>
      </x:c>
      <x:c r="H150" s="17" t="inlineStr">
        <x:is>
          <x:t xml:space="preserve">%</x:t>
        </x:is>
      </x:c>
      <x:c r="I150" s="17" t="inlineStr">
        <x:is>
          <x:t xml:space="preserve">HIGH_GOOD</x:t>
        </x:is>
      </x:c>
      <x:c r="J150" s="15" t="inlineStr">
        <x:is>
          <x:t xml:space="preserve">https://www.nbb.be/en/central-balance-sheet-office/consultation/statistics-annual-accounts-nbbstat</x:t>
        </x:is>
      </x:c>
      <x:c r="K150" s="15" t="inlineStr">
        <x:is>
          <x:t xml:space="preserve">Repères génériques. À adapter selon taille/maturité; remplacez par médianes/quartiles sectoriels si disponibles.</x:t>
        </x:is>
      </x:c>
    </x:row>
    <x:row r="151">
      <x:c r="A151" s="17" t="inlineStr">
        <x:is>
          <x:t xml:space="preserve">Belgique|Retail|M_NET</x:t>
        </x:is>
      </x:c>
      <x:c r="B151" s="17" t="inlineStr">
        <x:is>
          <x:t xml:space="preserve">Belgique</x:t>
        </x:is>
      </x:c>
      <x:c r="C151" s="17" t="inlineStr">
        <x:is>
          <x:t xml:space="preserve">Retail</x:t>
        </x:is>
      </x:c>
      <x:c r="D151" s="17" t="inlineStr">
        <x:is>
          <x:t xml:space="preserve">M_NET</x:t>
        </x:is>
      </x:c>
      <x:c r="E151" s="17" t="inlineStr">
        <x:is>
          <x:t xml:space="preserve">Marge nette</x:t>
        </x:is>
      </x:c>
      <x:c r="F151" s="18" t="n">
        <x:v>0.01</x:v>
      </x:c>
      <x:c r="G151" s="18" t="n">
        <x:v>0.05</x:v>
      </x:c>
      <x:c r="H151" s="17" t="inlineStr">
        <x:is>
          <x:t xml:space="preserve">%</x:t>
        </x:is>
      </x:c>
      <x:c r="I151" s="17" t="inlineStr">
        <x:is>
          <x:t xml:space="preserve">HIGH_GOOD</x:t>
        </x:is>
      </x:c>
      <x:c r="J151" s="15" t="inlineStr">
        <x:is>
          <x:t xml:space="preserve">https://www.nbb.be/en/central-balance-sheet-office/consultation/statistics-annual-accounts-nbbstat</x:t>
        </x:is>
      </x:c>
      <x:c r="K151" s="15" t="inlineStr">
        <x:is>
          <x:t xml:space="preserve">Repères génériques. À adapter selon taille/maturité; remplacez par médianes/quartiles sectoriels si disponibles.</x:t>
        </x:is>
      </x:c>
    </x:row>
    <x:row r="152">
      <x:c r="A152" s="17" t="inlineStr">
        <x:is>
          <x:t xml:space="preserve">Belgique|Retail|G_REV</x:t>
        </x:is>
      </x:c>
      <x:c r="B152" s="17" t="inlineStr">
        <x:is>
          <x:t xml:space="preserve">Belgique</x:t>
        </x:is>
      </x:c>
      <x:c r="C152" s="17" t="inlineStr">
        <x:is>
          <x:t xml:space="preserve">Retail</x:t>
        </x:is>
      </x:c>
      <x:c r="D152" s="17" t="inlineStr">
        <x:is>
          <x:t xml:space="preserve">G_REV</x:t>
        </x:is>
      </x:c>
      <x:c r="E152" s="17" t="inlineStr">
        <x:is>
          <x:t xml:space="preserve">Croissance CA</x:t>
        </x:is>
      </x:c>
      <x:c r="F152" s="18" t="n">
        <x:v>-0.03</x:v>
      </x:c>
      <x:c r="G152" s="18" t="n">
        <x:v>0.12</x:v>
      </x:c>
      <x:c r="H152" s="17" t="inlineStr">
        <x:is>
          <x:t xml:space="preserve">%</x:t>
        </x:is>
      </x:c>
      <x:c r="I152" s="17" t="inlineStr">
        <x:is>
          <x:t xml:space="preserve">HIGH_GOOD</x:t>
        </x:is>
      </x:c>
      <x:c r="J152" s="15" t="inlineStr">
        <x:is>
          <x:t xml:space="preserve">https://www.nbb.be/en/central-balance-sheet-office/consultation/statistics-annual-accounts-nbbstat</x:t>
        </x:is>
      </x:c>
      <x:c r="K152" s="15" t="inlineStr">
        <x:is>
          <x:t xml:space="preserve">Repères génériques. À adapter selon taille/maturité; remplacez par médianes/quartiles sectoriels si disponibles.</x:t>
        </x:is>
      </x:c>
    </x:row>
    <x:row r="153">
      <x:c r="A153" s="17" t="inlineStr">
        <x:is>
          <x:t xml:space="preserve">Belgique|Retail|G_NI</x:t>
        </x:is>
      </x:c>
      <x:c r="B153" s="17" t="inlineStr">
        <x:is>
          <x:t xml:space="preserve">Belgique</x:t>
        </x:is>
      </x:c>
      <x:c r="C153" s="17" t="inlineStr">
        <x:is>
          <x:t xml:space="preserve">Retail</x:t>
        </x:is>
      </x:c>
      <x:c r="D153" s="17" t="inlineStr">
        <x:is>
          <x:t xml:space="preserve">G_NI</x:t>
        </x:is>
      </x:c>
      <x:c r="E153" s="17" t="inlineStr">
        <x:is>
          <x:t xml:space="preserve">Croissance RN</x:t>
        </x:is>
      </x:c>
      <x:c r="F153" s="18" t="n">
        <x:v>-0.1</x:v>
      </x:c>
      <x:c r="G153" s="18" t="n">
        <x:v>0.15</x:v>
      </x:c>
      <x:c r="H153" s="17" t="inlineStr">
        <x:is>
          <x:t xml:space="preserve">%</x:t>
        </x:is>
      </x:c>
      <x:c r="I153" s="17" t="inlineStr">
        <x:is>
          <x:t xml:space="preserve">HIGH_GOOD</x:t>
        </x:is>
      </x:c>
      <x:c r="J153" s="15" t="inlineStr">
        <x:is>
          <x:t xml:space="preserve">https://www.nbb.be/en/central-balance-sheet-office/consultation/statistics-annual-accounts-nbbstat</x:t>
        </x:is>
      </x:c>
      <x:c r="K153" s="15" t="inlineStr">
        <x:is>
          <x:t xml:space="preserve">Repères génériques. À adapter selon taille/maturité; remplacez par médianes/quartiles sectoriels si disponibles.</x:t>
        </x:is>
      </x:c>
    </x:row>
    <x:row r="154">
      <x:c r="A154" s="17" t="inlineStr">
        <x:is>
          <x:t xml:space="preserve">Belgique|Retail|D_INV</x:t>
        </x:is>
      </x:c>
      <x:c r="B154" s="17" t="inlineStr">
        <x:is>
          <x:t xml:space="preserve">Belgique</x:t>
        </x:is>
      </x:c>
      <x:c r="C154" s="17" t="inlineStr">
        <x:is>
          <x:t xml:space="preserve">Retail</x:t>
        </x:is>
      </x:c>
      <x:c r="D154" s="17" t="inlineStr">
        <x:is>
          <x:t xml:space="preserve">D_INV</x:t>
        </x:is>
      </x:c>
      <x:c r="E154" s="17" t="inlineStr">
        <x:is>
          <x:t xml:space="preserve">Jours de stocks</x:t>
        </x:is>
      </x:c>
      <x:c r="F154" s="26" t="n">
        <x:v>20</x:v>
      </x:c>
      <x:c r="G154" s="26" t="n">
        <x:v>70</x:v>
      </x:c>
      <x:c r="H154" s="17" t="inlineStr">
        <x:is>
          <x:t xml:space="preserve">jours</x:t>
        </x:is>
      </x:c>
      <x:c r="I154" s="17" t="inlineStr">
        <x:is>
          <x:t xml:space="preserve">LOW_GOOD</x:t>
        </x:is>
      </x:c>
      <x:c r="J154" s="15" t="inlineStr">
        <x:is>
          <x:t xml:space="preserve">https://www.nbb.be/en/central-balance-sheet-office/consultation/statistics-annual-accounts-nbbstat</x:t>
        </x:is>
      </x:c>
      <x:c r="K154" s="15" t="inlineStr">
        <x:is>
          <x:t xml:space="preserve">Repères génériques. À adapter selon taille/maturité; remplacez par médianes/quartiles sectoriels si disponibles.</x:t>
        </x:is>
      </x:c>
    </x:row>
    <x:row r="155">
      <x:c r="A155" s="17" t="inlineStr">
        <x:is>
          <x:t xml:space="preserve">Belgique|Retail|DSO</x:t>
        </x:is>
      </x:c>
      <x:c r="B155" s="17" t="inlineStr">
        <x:is>
          <x:t xml:space="preserve">Belgique</x:t>
        </x:is>
      </x:c>
      <x:c r="C155" s="17" t="inlineStr">
        <x:is>
          <x:t xml:space="preserve">Retail</x:t>
        </x:is>
      </x:c>
      <x:c r="D155" s="17" t="inlineStr">
        <x:is>
          <x:t xml:space="preserve">DSO</x:t>
        </x:is>
      </x:c>
      <x:c r="E155" s="17" t="inlineStr">
        <x:is>
          <x:t xml:space="preserve">DSO (jours clients)</x:t>
        </x:is>
      </x:c>
      <x:c r="F155" s="26" t="n">
        <x:v>5</x:v>
      </x:c>
      <x:c r="G155" s="26" t="n">
        <x:v>30</x:v>
      </x:c>
      <x:c r="H155" s="17" t="inlineStr">
        <x:is>
          <x:t xml:space="preserve">jours</x:t>
        </x:is>
      </x:c>
      <x:c r="I155" s="17" t="inlineStr">
        <x:is>
          <x:t xml:space="preserve">LOW_GOOD</x:t>
        </x:is>
      </x:c>
      <x:c r="J155" s="15" t="inlineStr">
        <x:is>
          <x:t xml:space="preserve">https://www.nbb.be/en/central-balance-sheet-office/consultation/statistics-annual-accounts-nbbstat</x:t>
        </x:is>
      </x:c>
      <x:c r="K155" s="15" t="inlineStr">
        <x:is>
          <x:t xml:space="preserve">Repère. Délais B2B encadrés (max ~60 jours sauf accords).</x:t>
        </x:is>
      </x:c>
    </x:row>
    <x:row r="156">
      <x:c r="A156" s="17" t="inlineStr">
        <x:is>
          <x:t xml:space="preserve">Belgique|Retail|DPO</x:t>
        </x:is>
      </x:c>
      <x:c r="B156" s="17" t="inlineStr">
        <x:is>
          <x:t xml:space="preserve">Belgique</x:t>
        </x:is>
      </x:c>
      <x:c r="C156" s="17" t="inlineStr">
        <x:is>
          <x:t xml:space="preserve">Retail</x:t>
        </x:is>
      </x:c>
      <x:c r="D156" s="17" t="inlineStr">
        <x:is>
          <x:t xml:space="preserve">DPO</x:t>
        </x:is>
      </x:c>
      <x:c r="E156" s="17" t="inlineStr">
        <x:is>
          <x:t xml:space="preserve">DPO (jours fournisseurs)</x:t>
        </x:is>
      </x:c>
      <x:c r="F156" s="26" t="n">
        <x:v>45</x:v>
      </x:c>
      <x:c r="G156" s="26" t="n">
        <x:v>120</x:v>
      </x:c>
      <x:c r="H156" s="17" t="inlineStr">
        <x:is>
          <x:t xml:space="preserve">jours</x:t>
        </x:is>
      </x:c>
      <x:c r="I156" s="17" t="inlineStr">
        <x:is>
          <x:t xml:space="preserve">RANGE</x:t>
        </x:is>
      </x:c>
      <x:c r="J156" s="15" t="inlineStr">
        <x:is>
          <x:t xml:space="preserve">https://www.nbb.be/en/central-balance-sheet-office/consultation/statistics-annual-accounts-nbbstat</x:t>
        </x:is>
      </x:c>
      <x:c r="K156" s="15" t="inlineStr">
        <x:is>
          <x:t xml:space="preserve">Repère. Délais B2B encadrés (max ~60 jours sauf accords).</x:t>
        </x:is>
      </x:c>
    </x:row>
    <x:row r="157">
      <x:c r="A157" s="17" t="inlineStr">
        <x:is>
          <x:t xml:space="preserve">Belgique|Retail|CCC</x:t>
        </x:is>
      </x:c>
      <x:c r="B157" s="17" t="inlineStr">
        <x:is>
          <x:t xml:space="preserve">Belgique</x:t>
        </x:is>
      </x:c>
      <x:c r="C157" s="17" t="inlineStr">
        <x:is>
          <x:t xml:space="preserve">Retail</x:t>
        </x:is>
      </x:c>
      <x:c r="D157" s="17" t="inlineStr">
        <x:is>
          <x:t xml:space="preserve">CCC</x:t>
        </x:is>
      </x:c>
      <x:c r="E157" s="17" t="inlineStr">
        <x:is>
          <x:t xml:space="preserve">Cycle de conversion cash (jours)</x:t>
        </x:is>
      </x:c>
      <x:c r="F157" s="26" t="n">
        <x:v>-30</x:v>
      </x:c>
      <x:c r="G157" s="26" t="n">
        <x:v>30</x:v>
      </x:c>
      <x:c r="H157" s="17" t="inlineStr">
        <x:is>
          <x:t xml:space="preserve">jours</x:t>
        </x:is>
      </x:c>
      <x:c r="I157" s="17" t="inlineStr">
        <x:is>
          <x:t xml:space="preserve">LOW_GOOD</x:t>
        </x:is>
      </x:c>
      <x:c r="J157" s="15" t="inlineStr">
        <x:is>
          <x:t xml:space="preserve">https://www.nbb.be/en/central-balance-sheet-office/consultation/statistics-annual-accounts-nbbstat</x:t>
        </x:is>
      </x:c>
      <x:c r="K157" s="15" t="inlineStr">
        <x:is>
          <x:t xml:space="preserve">Repères génériques. À adapter selon taille/maturité; remplacez par médianes/quartiles sectoriels si disponibles.</x:t>
        </x:is>
      </x:c>
    </x:row>
    <x:row r="158">
      <x:c r="A158" s="17" t="inlineStr">
        <x:is>
          <x:t xml:space="preserve">Belgique|Retail|BFR_REV</x:t>
        </x:is>
      </x:c>
      <x:c r="B158" s="17" t="inlineStr">
        <x:is>
          <x:t xml:space="preserve">Belgique</x:t>
        </x:is>
      </x:c>
      <x:c r="C158" s="17" t="inlineStr">
        <x:is>
          <x:t xml:space="preserve">Retail</x:t>
        </x:is>
      </x:c>
      <x:c r="D158" s="17" t="inlineStr">
        <x:is>
          <x:t xml:space="preserve">BFR_REV</x:t>
        </x:is>
      </x:c>
      <x:c r="E158" s="17" t="inlineStr">
        <x:is>
          <x:t xml:space="preserve">BFR / CA</x:t>
        </x:is>
      </x:c>
      <x:c r="F158" s="18" t="n">
        <x:v>-0.15</x:v>
      </x:c>
      <x:c r="G158" s="18" t="n">
        <x:v>0.1</x:v>
      </x:c>
      <x:c r="H158" s="17" t="inlineStr">
        <x:is>
          <x:t xml:space="preserve">%</x:t>
        </x:is>
      </x:c>
      <x:c r="I158" s="17" t="inlineStr">
        <x:is>
          <x:t xml:space="preserve">RANGE</x:t>
        </x:is>
      </x:c>
      <x:c r="J158" s="15" t="inlineStr">
        <x:is>
          <x:t xml:space="preserve">https://www.nbb.be/en/central-balance-sheet-office/consultation/statistics-annual-accounts-nbbstat</x:t>
        </x:is>
      </x:c>
      <x:c r="K158" s="15" t="inlineStr">
        <x:is>
          <x:t xml:space="preserve">Repères génériques. À adapter selon taille/maturité; remplacez par médianes/quartiles sectoriels si disponibles.</x:t>
        </x:is>
      </x:c>
    </x:row>
    <x:row r="159">
      <x:c r="A159" s="17" t="inlineStr">
        <x:is>
          <x:t xml:space="preserve">Belgique|Retail|EQ_RATIO</x:t>
        </x:is>
      </x:c>
      <x:c r="B159" s="17" t="inlineStr">
        <x:is>
          <x:t xml:space="preserve">Belgique</x:t>
        </x:is>
      </x:c>
      <x:c r="C159" s="17" t="inlineStr">
        <x:is>
          <x:t xml:space="preserve">Retail</x:t>
        </x:is>
      </x:c>
      <x:c r="D159" s="17" t="inlineStr">
        <x:is>
          <x:t xml:space="preserve">EQ_RATIO</x:t>
        </x:is>
      </x:c>
      <x:c r="E159" s="17" t="inlineStr">
        <x:is>
          <x:t xml:space="preserve">Autonomie financière (CP/Total bilan)</x:t>
        </x:is>
      </x:c>
      <x:c r="F159" s="18" t="n">
        <x:v>0.25</x:v>
      </x:c>
      <x:c r="G159" s="18" t="n">
        <x:v>0.55</x:v>
      </x:c>
      <x:c r="H159" s="17" t="inlineStr">
        <x:is>
          <x:t xml:space="preserve">%</x:t>
        </x:is>
      </x:c>
      <x:c r="I159" s="17" t="inlineStr">
        <x:is>
          <x:t xml:space="preserve">HIGH_GOOD</x:t>
        </x:is>
      </x:c>
      <x:c r="J159" s="15" t="inlineStr">
        <x:is>
          <x:t xml:space="preserve">https://www.nbb.be/en/central-balance-sheet-office/consultation/statistics-annual-accounts-nbbstat</x:t>
        </x:is>
      </x:c>
      <x:c r="K159" s="15" t="inlineStr">
        <x:is>
          <x:t xml:space="preserve">Repères génériques. À adapter selon taille/maturité; remplacez par médianes/quartiles sectoriels si disponibles.</x:t>
        </x:is>
      </x:c>
    </x:row>
    <x:row r="160">
      <x:c r="A160" s="17" t="inlineStr">
        <x:is>
          <x:t xml:space="preserve">Belgique|Retail|GEARING</x:t>
        </x:is>
      </x:c>
      <x:c r="B160" s="17" t="inlineStr">
        <x:is>
          <x:t xml:space="preserve">Belgique</x:t>
        </x:is>
      </x:c>
      <x:c r="C160" s="17" t="inlineStr">
        <x:is>
          <x:t xml:space="preserve">Retail</x:t>
        </x:is>
      </x:c>
      <x:c r="D160" s="17" t="inlineStr">
        <x:is>
          <x:t xml:space="preserve">GEARING</x:t>
        </x:is>
      </x:c>
      <x:c r="E160" s="17" t="inlineStr">
        <x:is>
          <x:t xml:space="preserve">Gearing (Dette nette/CP)</x:t>
        </x:is>
      </x:c>
      <x:c r="F160" s="20" t="n">
        <x:v>0</x:v>
      </x:c>
      <x:c r="G160" s="20" t="n">
        <x:v>1.2</x:v>
      </x:c>
      <x:c r="H160" s="17" t="inlineStr">
        <x:is>
          <x:t xml:space="preserve">x</x:t>
        </x:is>
      </x:c>
      <x:c r="I160" s="17" t="inlineStr">
        <x:is>
          <x:t xml:space="preserve">LOW_GOOD</x:t>
        </x:is>
      </x:c>
      <x:c r="J160" s="15" t="inlineStr">
        <x:is>
          <x:t xml:space="preserve">https://www.nbb.be/en/central-balance-sheet-office/consultation/statistics-annual-accounts-nbbstat</x:t>
        </x:is>
      </x:c>
      <x:c r="K160" s="15" t="inlineStr">
        <x:is>
          <x:t xml:space="preserve">Repères génériques. À adapter selon taille/maturité; remplacez par médianes/quartiles sectoriels si disponibles.</x:t>
        </x:is>
      </x:c>
    </x:row>
    <x:row r="161">
      <x:c r="A161" s="17" t="inlineStr">
        <x:is>
          <x:t xml:space="preserve">Belgique|Retail|CURR</x:t>
        </x:is>
      </x:c>
      <x:c r="B161" s="17" t="inlineStr">
        <x:is>
          <x:t xml:space="preserve">Belgique</x:t>
        </x:is>
      </x:c>
      <x:c r="C161" s="17" t="inlineStr">
        <x:is>
          <x:t xml:space="preserve">Retail</x:t>
        </x:is>
      </x:c>
      <x:c r="D161" s="17" t="inlineStr">
        <x:is>
          <x:t xml:space="preserve">CURR</x:t>
        </x:is>
      </x:c>
      <x:c r="E161" s="17" t="inlineStr">
        <x:is>
          <x:t xml:space="preserve">Current ratio</x:t>
        </x:is>
      </x:c>
      <x:c r="F161" s="20" t="n">
        <x:v>1.1</x:v>
      </x:c>
      <x:c r="G161" s="20" t="n">
        <x:v>2</x:v>
      </x:c>
      <x:c r="H161" s="17" t="inlineStr">
        <x:is>
          <x:t xml:space="preserve">x</x:t>
        </x:is>
      </x:c>
      <x:c r="I161" s="17" t="inlineStr">
        <x:is>
          <x:t xml:space="preserve">RANGE</x:t>
        </x:is>
      </x:c>
      <x:c r="J161" s="15" t="inlineStr">
        <x:is>
          <x:t xml:space="preserve">https://www.nbb.be/en/central-balance-sheet-office/consultation/statistics-annual-accounts-nbbstat</x:t>
        </x:is>
      </x:c>
      <x:c r="K161" s="15" t="inlineStr">
        <x:is>
          <x:t xml:space="preserve">Repères génériques. À adapter selon taille/maturité; remplacez par médianes/quartiles sectoriels si disponibles.</x:t>
        </x:is>
      </x:c>
    </x:row>
    <x:row r="162">
      <x:c r="A162" s="17" t="inlineStr">
        <x:is>
          <x:t xml:space="preserve">Belgique|Retail|QUICK</x:t>
        </x:is>
      </x:c>
      <x:c r="B162" s="17" t="inlineStr">
        <x:is>
          <x:t xml:space="preserve">Belgique</x:t>
        </x:is>
      </x:c>
      <x:c r="C162" s="17" t="inlineStr">
        <x:is>
          <x:t xml:space="preserve">Retail</x:t>
        </x:is>
      </x:c>
      <x:c r="D162" s="17" t="inlineStr">
        <x:is>
          <x:t xml:space="preserve">QUICK</x:t>
        </x:is>
      </x:c>
      <x:c r="E162" s="17" t="inlineStr">
        <x:is>
          <x:t xml:space="preserve">Quick ratio</x:t>
        </x:is>
      </x:c>
      <x:c r="F162" s="20" t="n">
        <x:v>0.7</x:v>
      </x:c>
      <x:c r="G162" s="20" t="n">
        <x:v>1.4</x:v>
      </x:c>
      <x:c r="H162" s="17" t="inlineStr">
        <x:is>
          <x:t xml:space="preserve">x</x:t>
        </x:is>
      </x:c>
      <x:c r="I162" s="17" t="inlineStr">
        <x:is>
          <x:t xml:space="preserve">RANGE</x:t>
        </x:is>
      </x:c>
      <x:c r="J162" s="15" t="inlineStr">
        <x:is>
          <x:t xml:space="preserve">https://www.nbb.be/en/central-balance-sheet-office/consultation/statistics-annual-accounts-nbbstat</x:t>
        </x:is>
      </x:c>
      <x:c r="K162" s="15" t="inlineStr">
        <x:is>
          <x:t xml:space="preserve">Repères génériques. À adapter selon taille/maturité; remplacez par médianes/quartiles sectoriels si disponibles.</x:t>
        </x:is>
      </x:c>
    </x:row>
    <x:row r="163">
      <x:c r="A163" s="17" t="inlineStr">
        <x:is>
          <x:t xml:space="preserve">Belgique|Retail|CASHR</x:t>
        </x:is>
      </x:c>
      <x:c r="B163" s="17" t="inlineStr">
        <x:is>
          <x:t xml:space="preserve">Belgique</x:t>
        </x:is>
      </x:c>
      <x:c r="C163" s="17" t="inlineStr">
        <x:is>
          <x:t xml:space="preserve">Retail</x:t>
        </x:is>
      </x:c>
      <x:c r="D163" s="17" t="inlineStr">
        <x:is>
          <x:t xml:space="preserve">CASHR</x:t>
        </x:is>
      </x:c>
      <x:c r="E163" s="17" t="inlineStr">
        <x:is>
          <x:t xml:space="preserve">Cash ratio</x:t>
        </x:is>
      </x:c>
      <x:c r="F163" s="20" t="n">
        <x:v>0.1</x:v>
      </x:c>
      <x:c r="G163" s="20" t="n">
        <x:v>0.6</x:v>
      </x:c>
      <x:c r="H163" s="17" t="inlineStr">
        <x:is>
          <x:t xml:space="preserve">x</x:t>
        </x:is>
      </x:c>
      <x:c r="I163" s="17" t="inlineStr">
        <x:is>
          <x:t xml:space="preserve">RANGE</x:t>
        </x:is>
      </x:c>
      <x:c r="J163" s="15" t="inlineStr">
        <x:is>
          <x:t xml:space="preserve">https://www.nbb.be/en/central-balance-sheet-office/consultation/statistics-annual-accounts-nbbstat</x:t>
        </x:is>
      </x:c>
      <x:c r="K163" s="15" t="inlineStr">
        <x:is>
          <x:t xml:space="preserve">Repères génériques. À adapter selon taille/maturité; remplacez par médianes/quartiles sectoriels si disponibles.</x:t>
        </x:is>
      </x:c>
    </x:row>
    <x:row r="164">
      <x:c r="A164" s="17" t="inlineStr">
        <x:is>
          <x:t xml:space="preserve">Belgique|Retail|ND_EBITDA</x:t>
        </x:is>
      </x:c>
      <x:c r="B164" s="17" t="inlineStr">
        <x:is>
          <x:t xml:space="preserve">Belgique</x:t>
        </x:is>
      </x:c>
      <x:c r="C164" s="17" t="inlineStr">
        <x:is>
          <x:t xml:space="preserve">Retail</x:t>
        </x:is>
      </x:c>
      <x:c r="D164" s="17" t="inlineStr">
        <x:is>
          <x:t xml:space="preserve">ND_EBITDA</x:t>
        </x:is>
      </x:c>
      <x:c r="E164" s="17" t="inlineStr">
        <x:is>
          <x:t xml:space="preserve">Dette nette / EBITDA</x:t>
        </x:is>
      </x:c>
      <x:c r="F164" s="20" t="n">
        <x:v>0</x:v>
      </x:c>
      <x:c r="G164" s="20" t="n">
        <x:v>3.5</x:v>
      </x:c>
      <x:c r="H164" s="17" t="inlineStr">
        <x:is>
          <x:t xml:space="preserve">x</x:t>
        </x:is>
      </x:c>
      <x:c r="I164" s="17" t="inlineStr">
        <x:is>
          <x:t xml:space="preserve">LOW_GOOD</x:t>
        </x:is>
      </x:c>
      <x:c r="J164" s="15" t="inlineStr">
        <x:is>
          <x:t xml:space="preserve">https://www.nbb.be/en/central-balance-sheet-office/consultation/statistics-annual-accounts-nbbstat</x:t>
        </x:is>
      </x:c>
      <x:c r="K164" s="15" t="inlineStr">
        <x:is>
          <x:t xml:space="preserve">Repères génériques. À adapter selon taille/maturité; remplacez par médianes/quartiles sectoriels si disponibles.</x:t>
        </x:is>
      </x:c>
    </x:row>
    <x:row r="165">
      <x:c r="A165" s="17" t="inlineStr">
        <x:is>
          <x:t xml:space="preserve">Belgique|Retail|D_E</x:t>
        </x:is>
      </x:c>
      <x:c r="B165" s="17" t="inlineStr">
        <x:is>
          <x:t xml:space="preserve">Belgique</x:t>
        </x:is>
      </x:c>
      <x:c r="C165" s="17" t="inlineStr">
        <x:is>
          <x:t xml:space="preserve">Retail</x:t>
        </x:is>
      </x:c>
      <x:c r="D165" s="17" t="inlineStr">
        <x:is>
          <x:t xml:space="preserve">D_E</x:t>
        </x:is>
      </x:c>
      <x:c r="E165" s="17" t="inlineStr">
        <x:is>
          <x:t xml:space="preserve">Dette / CP</x:t>
        </x:is>
      </x:c>
      <x:c r="F165" s="20" t="n">
        <x:v>0</x:v>
      </x:c>
      <x:c r="G165" s="20" t="n">
        <x:v>2</x:v>
      </x:c>
      <x:c r="H165" s="17" t="inlineStr">
        <x:is>
          <x:t xml:space="preserve">x</x:t>
        </x:is>
      </x:c>
      <x:c r="I165" s="17" t="inlineStr">
        <x:is>
          <x:t xml:space="preserve">LOW_GOOD</x:t>
        </x:is>
      </x:c>
      <x:c r="J165" s="15" t="inlineStr">
        <x:is>
          <x:t xml:space="preserve">https://www.nbb.be/en/central-balance-sheet-office/consultation/statistics-annual-accounts-nbbstat</x:t>
        </x:is>
      </x:c>
      <x:c r="K165" s="15" t="inlineStr">
        <x:is>
          <x:t xml:space="preserve">Repères génériques. À adapter selon taille/maturité; remplacez par médianes/quartiles sectoriels si disponibles.</x:t>
        </x:is>
      </x:c>
    </x:row>
    <x:row r="166">
      <x:c r="A166" s="17" t="inlineStr">
        <x:is>
          <x:t xml:space="preserve">Belgique|Retail|ICR</x:t>
        </x:is>
      </x:c>
      <x:c r="B166" s="17" t="inlineStr">
        <x:is>
          <x:t xml:space="preserve">Belgique</x:t>
        </x:is>
      </x:c>
      <x:c r="C166" s="17" t="inlineStr">
        <x:is>
          <x:t xml:space="preserve">Retail</x:t>
        </x:is>
      </x:c>
      <x:c r="D166" s="17" t="inlineStr">
        <x:is>
          <x:t xml:space="preserve">ICR</x:t>
        </x:is>
      </x:c>
      <x:c r="E166" s="17" t="inlineStr">
        <x:is>
          <x:t xml:space="preserve">Couverture intérêts (EBIT/Intérêts)</x:t>
        </x:is>
      </x:c>
      <x:c r="F166" s="20" t="n">
        <x:v>2.5</x:v>
      </x:c>
      <x:c r="G166" s="20" t="n">
        <x:v>10</x:v>
      </x:c>
      <x:c r="H166" s="17" t="inlineStr">
        <x:is>
          <x:t xml:space="preserve">x</x:t>
        </x:is>
      </x:c>
      <x:c r="I166" s="17" t="inlineStr">
        <x:is>
          <x:t xml:space="preserve">HIGH_GOOD</x:t>
        </x:is>
      </x:c>
      <x:c r="J166" s="15" t="inlineStr">
        <x:is>
          <x:t xml:space="preserve">https://www.nbb.be/en/central-balance-sheet-office/consultation/statistics-annual-accounts-nbbstat</x:t>
        </x:is>
      </x:c>
      <x:c r="K166" s="15" t="inlineStr">
        <x:is>
          <x:t xml:space="preserve">Repères génériques. À adapter selon taille/maturité; remplacez par médianes/quartiles sectoriels si disponibles.</x:t>
        </x:is>
      </x:c>
    </x:row>
    <x:row r="167">
      <x:c r="A167" s="17" t="inlineStr">
        <x:is>
          <x:t xml:space="preserve">Belgique|Retail|DSCR</x:t>
        </x:is>
      </x:c>
      <x:c r="B167" s="17" t="inlineStr">
        <x:is>
          <x:t xml:space="preserve">Belgique</x:t>
        </x:is>
      </x:c>
      <x:c r="C167" s="17" t="inlineStr">
        <x:is>
          <x:t xml:space="preserve">Retail</x:t>
        </x:is>
      </x:c>
      <x:c r="D167" s="17" t="inlineStr">
        <x:is>
          <x:t xml:space="preserve">DSCR</x:t>
        </x:is>
      </x:c>
      <x:c r="E167" s="17" t="inlineStr">
        <x:is>
          <x:t xml:space="preserve">DSCR</x:t>
        </x:is>
      </x:c>
      <x:c r="F167" s="20" t="n">
        <x:v>1.1</x:v>
      </x:c>
      <x:c r="G167" s="20" t="n">
        <x:v>2.5</x:v>
      </x:c>
      <x:c r="H167" s="17" t="inlineStr">
        <x:is>
          <x:t xml:space="preserve">x</x:t>
        </x:is>
      </x:c>
      <x:c r="I167" s="17" t="inlineStr">
        <x:is>
          <x:t xml:space="preserve">HIGH_GOOD</x:t>
        </x:is>
      </x:c>
      <x:c r="J167" s="15" t="inlineStr">
        <x:is>
          <x:t xml:space="preserve">https://www.nbb.be/en/central-balance-sheet-office/consultation/statistics-annual-accounts-nbbstat</x:t>
        </x:is>
      </x:c>
      <x:c r="K167" s="15" t="inlineStr">
        <x:is>
          <x:t xml:space="preserve">Repères génériques. À adapter selon taille/maturité; remplacez par médianes/quartiles sectoriels si disponibles.</x:t>
        </x:is>
      </x:c>
    </x:row>
    <x:row r="168">
      <x:c r="A168" s="17" t="inlineStr">
        <x:is>
          <x:t xml:space="preserve">Belgique|Retail|CFO_NI</x:t>
        </x:is>
      </x:c>
      <x:c r="B168" s="17" t="inlineStr">
        <x:is>
          <x:t xml:space="preserve">Belgique</x:t>
        </x:is>
      </x:c>
      <x:c r="C168" s="17" t="inlineStr">
        <x:is>
          <x:t xml:space="preserve">Retail</x:t>
        </x:is>
      </x:c>
      <x:c r="D168" s="17" t="inlineStr">
        <x:is>
          <x:t xml:space="preserve">CFO_NI</x:t>
        </x:is>
      </x:c>
      <x:c r="E168" s="17" t="inlineStr">
        <x:is>
          <x:t xml:space="preserve">CFO / RN</x:t>
        </x:is>
      </x:c>
      <x:c r="F168" s="20" t="n">
        <x:v>0.9</x:v>
      </x:c>
      <x:c r="G168" s="20" t="n">
        <x:v>1.6</x:v>
      </x:c>
      <x:c r="H168" s="17" t="inlineStr">
        <x:is>
          <x:t xml:space="preserve">x</x:t>
        </x:is>
      </x:c>
      <x:c r="I168" s="17" t="inlineStr">
        <x:is>
          <x:t xml:space="preserve">HIGH_GOOD</x:t>
        </x:is>
      </x:c>
      <x:c r="J168" s="15" t="inlineStr">
        <x:is>
          <x:t xml:space="preserve">https://www.nbb.be/en/central-balance-sheet-office/consultation/statistics-annual-accounts-nbbstat</x:t>
        </x:is>
      </x:c>
      <x:c r="K168" s="15" t="inlineStr">
        <x:is>
          <x:t xml:space="preserve">Repères génériques. À adapter selon taille/maturité; remplacez par médianes/quartiles sectoriels si disponibles.</x:t>
        </x:is>
      </x:c>
    </x:row>
    <x:row r="169">
      <x:c r="A169" s="17" t="inlineStr">
        <x:is>
          <x:t xml:space="preserve">Belgique|Retail|ROA</x:t>
        </x:is>
      </x:c>
      <x:c r="B169" s="17" t="inlineStr">
        <x:is>
          <x:t xml:space="preserve">Belgique</x:t>
        </x:is>
      </x:c>
      <x:c r="C169" s="17" t="inlineStr">
        <x:is>
          <x:t xml:space="preserve">Retail</x:t>
        </x:is>
      </x:c>
      <x:c r="D169" s="17" t="inlineStr">
        <x:is>
          <x:t xml:space="preserve">ROA</x:t>
        </x:is>
      </x:c>
      <x:c r="E169" s="17" t="inlineStr">
        <x:is>
          <x:t xml:space="preserve">ROA</x:t>
        </x:is>
      </x:c>
      <x:c r="F169" s="18" t="n">
        <x:v>0.02</x:v>
      </x:c>
      <x:c r="G169" s="18" t="n">
        <x:v>0.08</x:v>
      </x:c>
      <x:c r="H169" s="17" t="inlineStr">
        <x:is>
          <x:t xml:space="preserve">%</x:t>
        </x:is>
      </x:c>
      <x:c r="I169" s="17" t="inlineStr">
        <x:is>
          <x:t xml:space="preserve">HIGH_GOOD</x:t>
        </x:is>
      </x:c>
      <x:c r="J169" s="15" t="inlineStr">
        <x:is>
          <x:t xml:space="preserve">https://www.nbb.be/en/central-balance-sheet-office/consultation/statistics-annual-accounts-nbbstat</x:t>
        </x:is>
      </x:c>
      <x:c r="K169" s="15" t="inlineStr">
        <x:is>
          <x:t xml:space="preserve">Repères génériques. À adapter selon taille/maturité; remplacez par médianes/quartiles sectoriels si disponibles.</x:t>
        </x:is>
      </x:c>
    </x:row>
    <x:row r="170">
      <x:c r="A170" s="17" t="inlineStr">
        <x:is>
          <x:t xml:space="preserve">Belgique|Retail|ROE</x:t>
        </x:is>
      </x:c>
      <x:c r="B170" s="17" t="inlineStr">
        <x:is>
          <x:t xml:space="preserve">Belgique</x:t>
        </x:is>
      </x:c>
      <x:c r="C170" s="17" t="inlineStr">
        <x:is>
          <x:t xml:space="preserve">Retail</x:t>
        </x:is>
      </x:c>
      <x:c r="D170" s="17" t="inlineStr">
        <x:is>
          <x:t xml:space="preserve">ROE</x:t>
        </x:is>
      </x:c>
      <x:c r="E170" s="17" t="inlineStr">
        <x:is>
          <x:t xml:space="preserve">ROE</x:t>
        </x:is>
      </x:c>
      <x:c r="F170" s="18" t="n">
        <x:v>0.08</x:v>
      </x:c>
      <x:c r="G170" s="18" t="n">
        <x:v>0.2</x:v>
      </x:c>
      <x:c r="H170" s="17" t="inlineStr">
        <x:is>
          <x:t xml:space="preserve">%</x:t>
        </x:is>
      </x:c>
      <x:c r="I170" s="17" t="inlineStr">
        <x:is>
          <x:t xml:space="preserve">HIGH_GOOD</x:t>
        </x:is>
      </x:c>
      <x:c r="J170" s="15" t="inlineStr">
        <x:is>
          <x:t xml:space="preserve">https://www.nbb.be/en/central-balance-sheet-office/consultation/statistics-annual-accounts-nbbstat</x:t>
        </x:is>
      </x:c>
      <x:c r="K170" s="15" t="inlineStr">
        <x:is>
          <x:t xml:space="preserve">Repères génériques. À adapter selon taille/maturité; remplacez par médianes/quartiles sectoriels si disponibles.</x:t>
        </x:is>
      </x:c>
    </x:row>
    <x:row r="171">
      <x:c r="A171" s="17" t="inlineStr">
        <x:is>
          <x:t xml:space="preserve">Belgique|Retail|ROCE</x:t>
        </x:is>
      </x:c>
      <x:c r="B171" s="17" t="inlineStr">
        <x:is>
          <x:t xml:space="preserve">Belgique</x:t>
        </x:is>
      </x:c>
      <x:c r="C171" s="17" t="inlineStr">
        <x:is>
          <x:t xml:space="preserve">Retail</x:t>
        </x:is>
      </x:c>
      <x:c r="D171" s="17" t="inlineStr">
        <x:is>
          <x:t xml:space="preserve">ROCE</x:t>
        </x:is>
      </x:c>
      <x:c r="E171" s="17" t="inlineStr">
        <x:is>
          <x:t xml:space="preserve">ROCE</x:t>
        </x:is>
      </x:c>
      <x:c r="F171" s="18" t="n">
        <x:v>0.08</x:v>
      </x:c>
      <x:c r="G171" s="18" t="n">
        <x:v>0.25</x:v>
      </x:c>
      <x:c r="H171" s="17" t="inlineStr">
        <x:is>
          <x:t xml:space="preserve">%</x:t>
        </x:is>
      </x:c>
      <x:c r="I171" s="17" t="inlineStr">
        <x:is>
          <x:t xml:space="preserve">HIGH_GOOD</x:t>
        </x:is>
      </x:c>
      <x:c r="J171" s="15" t="inlineStr">
        <x:is>
          <x:t xml:space="preserve">https://www.nbb.be/en/central-balance-sheet-office/consultation/statistics-annual-accounts-nbbstat</x:t>
        </x:is>
      </x:c>
      <x:c r="K171" s="15" t="inlineStr">
        <x:is>
          <x:t xml:space="preserve">Repères génériques. À adapter selon taille/maturité; remplacez par médianes/quartiles sectoriels si disponibles.</x:t>
        </x:is>
      </x:c>
    </x:row>
    <x:row r="172">
      <x:c r="A172" s="17" t="inlineStr">
        <x:is>
          <x:t xml:space="preserve">Belgique|Services|M_GROSS</x:t>
        </x:is>
      </x:c>
      <x:c r="B172" s="17" t="inlineStr">
        <x:is>
          <x:t xml:space="preserve">Belgique</x:t>
        </x:is>
      </x:c>
      <x:c r="C172" s="17" t="inlineStr">
        <x:is>
          <x:t xml:space="preserve">Services</x:t>
        </x:is>
      </x:c>
      <x:c r="D172" s="17" t="inlineStr">
        <x:is>
          <x:t xml:space="preserve">M_GROSS</x:t>
        </x:is>
      </x:c>
      <x:c r="E172" s="17" t="inlineStr">
        <x:is>
          <x:t xml:space="preserve">Marge brute</x:t>
        </x:is>
      </x:c>
      <x:c r="F172" s="18" t="n">
        <x:v>0.35</x:v>
      </x:c>
      <x:c r="G172" s="18" t="n">
        <x:v>0.7</x:v>
      </x:c>
      <x:c r="H172" s="17" t="inlineStr">
        <x:is>
          <x:t xml:space="preserve">%</x:t>
        </x:is>
      </x:c>
      <x:c r="I172" s="17" t="inlineStr">
        <x:is>
          <x:t xml:space="preserve">HIGH_GOOD</x:t>
        </x:is>
      </x:c>
      <x:c r="J172" s="15" t="inlineStr">
        <x:is>
          <x:t xml:space="preserve">https://www.nbb.be/en/central-balance-sheet-office/consultation/statistics-annual-accounts-nbbstat</x:t>
        </x:is>
      </x:c>
      <x:c r="K172" s="15" t="inlineStr">
        <x:is>
          <x:t xml:space="preserve">Repères génériques. À adapter selon taille/maturité; remplacez par médianes/quartiles sectoriels si disponibles.</x:t>
        </x:is>
      </x:c>
    </x:row>
    <x:row r="173">
      <x:c r="A173" s="17" t="inlineStr">
        <x:is>
          <x:t xml:space="preserve">Belgique|Services|M_EBITDA</x:t>
        </x:is>
      </x:c>
      <x:c r="B173" s="17" t="inlineStr">
        <x:is>
          <x:t xml:space="preserve">Belgique</x:t>
        </x:is>
      </x:c>
      <x:c r="C173" s="17" t="inlineStr">
        <x:is>
          <x:t xml:space="preserve">Services</x:t>
        </x:is>
      </x:c>
      <x:c r="D173" s="17" t="inlineStr">
        <x:is>
          <x:t xml:space="preserve">M_EBITDA</x:t>
        </x:is>
      </x:c>
      <x:c r="E173" s="17" t="inlineStr">
        <x:is>
          <x:t xml:space="preserve">Marge EBITDA</x:t>
        </x:is>
      </x:c>
      <x:c r="F173" s="18" t="n">
        <x:v>0.1</x:v>
      </x:c>
      <x:c r="G173" s="18" t="n">
        <x:v>0.25</x:v>
      </x:c>
      <x:c r="H173" s="17" t="inlineStr">
        <x:is>
          <x:t xml:space="preserve">%</x:t>
        </x:is>
      </x:c>
      <x:c r="I173" s="17" t="inlineStr">
        <x:is>
          <x:t xml:space="preserve">HIGH_GOOD</x:t>
        </x:is>
      </x:c>
      <x:c r="J173" s="15" t="inlineStr">
        <x:is>
          <x:t xml:space="preserve">https://www.nbb.be/en/central-balance-sheet-office/consultation/statistics-annual-accounts-nbbstat</x:t>
        </x:is>
      </x:c>
      <x:c r="K173" s="15" t="inlineStr">
        <x:is>
          <x:t xml:space="preserve">Repères génériques. À adapter selon taille/maturité; remplacez par médianes/quartiles sectoriels si disponibles.</x:t>
        </x:is>
      </x:c>
    </x:row>
    <x:row r="174">
      <x:c r="A174" s="17" t="inlineStr">
        <x:is>
          <x:t xml:space="preserve">Belgique|Services|M_EBIT</x:t>
        </x:is>
      </x:c>
      <x:c r="B174" s="17" t="inlineStr">
        <x:is>
          <x:t xml:space="preserve">Belgique</x:t>
        </x:is>
      </x:c>
      <x:c r="C174" s="17" t="inlineStr">
        <x:is>
          <x:t xml:space="preserve">Services</x:t>
        </x:is>
      </x:c>
      <x:c r="D174" s="17" t="inlineStr">
        <x:is>
          <x:t xml:space="preserve">M_EBIT</x:t>
        </x:is>
      </x:c>
      <x:c r="E174" s="17" t="inlineStr">
        <x:is>
          <x:t xml:space="preserve">Marge EBIT</x:t>
        </x:is>
      </x:c>
      <x:c r="F174" s="18" t="n">
        <x:v>0.06</x:v>
      </x:c>
      <x:c r="G174" s="18" t="n">
        <x:v>0.18</x:v>
      </x:c>
      <x:c r="H174" s="17" t="inlineStr">
        <x:is>
          <x:t xml:space="preserve">%</x:t>
        </x:is>
      </x:c>
      <x:c r="I174" s="17" t="inlineStr">
        <x:is>
          <x:t xml:space="preserve">HIGH_GOOD</x:t>
        </x:is>
      </x:c>
      <x:c r="J174" s="15" t="inlineStr">
        <x:is>
          <x:t xml:space="preserve">https://www.nbb.be/en/central-balance-sheet-office/consultation/statistics-annual-accounts-nbbstat</x:t>
        </x:is>
      </x:c>
      <x:c r="K174" s="15" t="inlineStr">
        <x:is>
          <x:t xml:space="preserve">Repères génériques. À adapter selon taille/maturité; remplacez par médianes/quartiles sectoriels si disponibles.</x:t>
        </x:is>
      </x:c>
    </x:row>
    <x:row r="175">
      <x:c r="A175" s="17" t="inlineStr">
        <x:is>
          <x:t xml:space="preserve">Belgique|Services|M_NET</x:t>
        </x:is>
      </x:c>
      <x:c r="B175" s="17" t="inlineStr">
        <x:is>
          <x:t xml:space="preserve">Belgique</x:t>
        </x:is>
      </x:c>
      <x:c r="C175" s="17" t="inlineStr">
        <x:is>
          <x:t xml:space="preserve">Services</x:t>
        </x:is>
      </x:c>
      <x:c r="D175" s="17" t="inlineStr">
        <x:is>
          <x:t xml:space="preserve">M_NET</x:t>
        </x:is>
      </x:c>
      <x:c r="E175" s="17" t="inlineStr">
        <x:is>
          <x:t xml:space="preserve">Marge nette</x:t>
        </x:is>
      </x:c>
      <x:c r="F175" s="18" t="n">
        <x:v>0.03</x:v>
      </x:c>
      <x:c r="G175" s="18" t="n">
        <x:v>0.12</x:v>
      </x:c>
      <x:c r="H175" s="17" t="inlineStr">
        <x:is>
          <x:t xml:space="preserve">%</x:t>
        </x:is>
      </x:c>
      <x:c r="I175" s="17" t="inlineStr">
        <x:is>
          <x:t xml:space="preserve">HIGH_GOOD</x:t>
        </x:is>
      </x:c>
      <x:c r="J175" s="15" t="inlineStr">
        <x:is>
          <x:t xml:space="preserve">https://www.nbb.be/en/central-balance-sheet-office/consultation/statistics-annual-accounts-nbbstat</x:t>
        </x:is>
      </x:c>
      <x:c r="K175" s="15" t="inlineStr">
        <x:is>
          <x:t xml:space="preserve">Repères génériques. À adapter selon taille/maturité; remplacez par médianes/quartiles sectoriels si disponibles.</x:t>
        </x:is>
      </x:c>
    </x:row>
    <x:row r="176">
      <x:c r="A176" s="17" t="inlineStr">
        <x:is>
          <x:t xml:space="preserve">Belgique|Services|G_REV</x:t>
        </x:is>
      </x:c>
      <x:c r="B176" s="17" t="inlineStr">
        <x:is>
          <x:t xml:space="preserve">Belgique</x:t>
        </x:is>
      </x:c>
      <x:c r="C176" s="17" t="inlineStr">
        <x:is>
          <x:t xml:space="preserve">Services</x:t>
        </x:is>
      </x:c>
      <x:c r="D176" s="17" t="inlineStr">
        <x:is>
          <x:t xml:space="preserve">G_REV</x:t>
        </x:is>
      </x:c>
      <x:c r="E176" s="17" t="inlineStr">
        <x:is>
          <x:t xml:space="preserve">Croissance CA</x:t>
        </x:is>
      </x:c>
      <x:c r="F176" s="18" t="n">
        <x:v>-0.03</x:v>
      </x:c>
      <x:c r="G176" s="18" t="n">
        <x:v>0.15</x:v>
      </x:c>
      <x:c r="H176" s="17" t="inlineStr">
        <x:is>
          <x:t xml:space="preserve">%</x:t>
        </x:is>
      </x:c>
      <x:c r="I176" s="17" t="inlineStr">
        <x:is>
          <x:t xml:space="preserve">HIGH_GOOD</x:t>
        </x:is>
      </x:c>
      <x:c r="J176" s="15" t="inlineStr">
        <x:is>
          <x:t xml:space="preserve">https://www.nbb.be/en/central-balance-sheet-office/consultation/statistics-annual-accounts-nbbstat</x:t>
        </x:is>
      </x:c>
      <x:c r="K176" s="15" t="inlineStr">
        <x:is>
          <x:t xml:space="preserve">Repères génériques. À adapter selon taille/maturité; remplacez par médianes/quartiles sectoriels si disponibles.</x:t>
        </x:is>
      </x:c>
    </x:row>
    <x:row r="177">
      <x:c r="A177" s="17" t="inlineStr">
        <x:is>
          <x:t xml:space="preserve">Belgique|Services|G_NI</x:t>
        </x:is>
      </x:c>
      <x:c r="B177" s="17" t="inlineStr">
        <x:is>
          <x:t xml:space="preserve">Belgique</x:t>
        </x:is>
      </x:c>
      <x:c r="C177" s="17" t="inlineStr">
        <x:is>
          <x:t xml:space="preserve">Services</x:t>
        </x:is>
      </x:c>
      <x:c r="D177" s="17" t="inlineStr">
        <x:is>
          <x:t xml:space="preserve">G_NI</x:t>
        </x:is>
      </x:c>
      <x:c r="E177" s="17" t="inlineStr">
        <x:is>
          <x:t xml:space="preserve">Croissance RN</x:t>
        </x:is>
      </x:c>
      <x:c r="F177" s="18" t="n">
        <x:v>-0.1</x:v>
      </x:c>
      <x:c r="G177" s="18" t="n">
        <x:v>0.2</x:v>
      </x:c>
      <x:c r="H177" s="17" t="inlineStr">
        <x:is>
          <x:t xml:space="preserve">%</x:t>
        </x:is>
      </x:c>
      <x:c r="I177" s="17" t="inlineStr">
        <x:is>
          <x:t xml:space="preserve">HIGH_GOOD</x:t>
        </x:is>
      </x:c>
      <x:c r="J177" s="15" t="inlineStr">
        <x:is>
          <x:t xml:space="preserve">https://www.nbb.be/en/central-balance-sheet-office/consultation/statistics-annual-accounts-nbbstat</x:t>
        </x:is>
      </x:c>
      <x:c r="K177" s="15" t="inlineStr">
        <x:is>
          <x:t xml:space="preserve">Repères génériques. À adapter selon taille/maturité; remplacez par médianes/quartiles sectoriels si disponibles.</x:t>
        </x:is>
      </x:c>
    </x:row>
    <x:row r="178">
      <x:c r="A178" s="17" t="inlineStr">
        <x:is>
          <x:t xml:space="preserve">Belgique|Services|D_INV</x:t>
        </x:is>
      </x:c>
      <x:c r="B178" s="17" t="inlineStr">
        <x:is>
          <x:t xml:space="preserve">Belgique</x:t>
        </x:is>
      </x:c>
      <x:c r="C178" s="17" t="inlineStr">
        <x:is>
          <x:t xml:space="preserve">Services</x:t>
        </x:is>
      </x:c>
      <x:c r="D178" s="17" t="inlineStr">
        <x:is>
          <x:t xml:space="preserve">D_INV</x:t>
        </x:is>
      </x:c>
      <x:c r="E178" s="17" t="inlineStr">
        <x:is>
          <x:t xml:space="preserve">Jours de stocks</x:t>
        </x:is>
      </x:c>
      <x:c r="F178" s="26" t="n">
        <x:v>0</x:v>
      </x:c>
      <x:c r="G178" s="26" t="n">
        <x:v>20</x:v>
      </x:c>
      <x:c r="H178" s="17" t="inlineStr">
        <x:is>
          <x:t xml:space="preserve">jours</x:t>
        </x:is>
      </x:c>
      <x:c r="I178" s="17" t="inlineStr">
        <x:is>
          <x:t xml:space="preserve">LOW_GOOD</x:t>
        </x:is>
      </x:c>
      <x:c r="J178" s="15" t="inlineStr">
        <x:is>
          <x:t xml:space="preserve">https://www.nbb.be/en/central-balance-sheet-office/consultation/statistics-annual-accounts-nbbstat</x:t>
        </x:is>
      </x:c>
      <x:c r="K178" s="15" t="inlineStr">
        <x:is>
          <x:t xml:space="preserve">Repères génériques. À adapter selon taille/maturité; remplacez par médianes/quartiles sectoriels si disponibles.</x:t>
        </x:is>
      </x:c>
    </x:row>
    <x:row r="179">
      <x:c r="A179" s="17" t="inlineStr">
        <x:is>
          <x:t xml:space="preserve">Belgique|Services|DSO</x:t>
        </x:is>
      </x:c>
      <x:c r="B179" s="17" t="inlineStr">
        <x:is>
          <x:t xml:space="preserve">Belgique</x:t>
        </x:is>
      </x:c>
      <x:c r="C179" s="17" t="inlineStr">
        <x:is>
          <x:t xml:space="preserve">Services</x:t>
        </x:is>
      </x:c>
      <x:c r="D179" s="17" t="inlineStr">
        <x:is>
          <x:t xml:space="preserve">DSO</x:t>
        </x:is>
      </x:c>
      <x:c r="E179" s="17" t="inlineStr">
        <x:is>
          <x:t xml:space="preserve">DSO (jours clients)</x:t>
        </x:is>
      </x:c>
      <x:c r="F179" s="26" t="n">
        <x:v>40</x:v>
      </x:c>
      <x:c r="G179" s="26" t="n">
        <x:v>80</x:v>
      </x:c>
      <x:c r="H179" s="17" t="inlineStr">
        <x:is>
          <x:t xml:space="preserve">jours</x:t>
        </x:is>
      </x:c>
      <x:c r="I179" s="17" t="inlineStr">
        <x:is>
          <x:t xml:space="preserve">LOW_GOOD</x:t>
        </x:is>
      </x:c>
      <x:c r="J179" s="15" t="inlineStr">
        <x:is>
          <x:t xml:space="preserve">https://www.nbb.be/en/central-balance-sheet-office/consultation/statistics-annual-accounts-nbbstat</x:t>
        </x:is>
      </x:c>
      <x:c r="K179" s="15" t="inlineStr">
        <x:is>
          <x:t xml:space="preserve">Repère. Délais B2B encadrés (max ~60 jours sauf accords).</x:t>
        </x:is>
      </x:c>
    </x:row>
    <x:row r="180">
      <x:c r="A180" s="17" t="inlineStr">
        <x:is>
          <x:t xml:space="preserve">Belgique|Services|DPO</x:t>
        </x:is>
      </x:c>
      <x:c r="B180" s="17" t="inlineStr">
        <x:is>
          <x:t xml:space="preserve">Belgique</x:t>
        </x:is>
      </x:c>
      <x:c r="C180" s="17" t="inlineStr">
        <x:is>
          <x:t xml:space="preserve">Services</x:t>
        </x:is>
      </x:c>
      <x:c r="D180" s="17" t="inlineStr">
        <x:is>
          <x:t xml:space="preserve">DPO</x:t>
        </x:is>
      </x:c>
      <x:c r="E180" s="17" t="inlineStr">
        <x:is>
          <x:t xml:space="preserve">DPO (jours fournisseurs)</x:t>
        </x:is>
      </x:c>
      <x:c r="F180" s="26" t="n">
        <x:v>30</x:v>
      </x:c>
      <x:c r="G180" s="26" t="n">
        <x:v>75</x:v>
      </x:c>
      <x:c r="H180" s="17" t="inlineStr">
        <x:is>
          <x:t xml:space="preserve">jours</x:t>
        </x:is>
      </x:c>
      <x:c r="I180" s="17" t="inlineStr">
        <x:is>
          <x:t xml:space="preserve">RANGE</x:t>
        </x:is>
      </x:c>
      <x:c r="J180" s="15" t="inlineStr">
        <x:is>
          <x:t xml:space="preserve">https://www.nbb.be/en/central-balance-sheet-office/consultation/statistics-annual-accounts-nbbstat</x:t>
        </x:is>
      </x:c>
      <x:c r="K180" s="15" t="inlineStr">
        <x:is>
          <x:t xml:space="preserve">Repère. Délais B2B encadrés (max ~60 jours sauf accords).</x:t>
        </x:is>
      </x:c>
    </x:row>
    <x:row r="181">
      <x:c r="A181" s="17" t="inlineStr">
        <x:is>
          <x:t xml:space="preserve">Belgique|Services|CCC</x:t>
        </x:is>
      </x:c>
      <x:c r="B181" s="17" t="inlineStr">
        <x:is>
          <x:t xml:space="preserve">Belgique</x:t>
        </x:is>
      </x:c>
      <x:c r="C181" s="17" t="inlineStr">
        <x:is>
          <x:t xml:space="preserve">Services</x:t>
        </x:is>
      </x:c>
      <x:c r="D181" s="17" t="inlineStr">
        <x:is>
          <x:t xml:space="preserve">CCC</x:t>
        </x:is>
      </x:c>
      <x:c r="E181" s="17" t="inlineStr">
        <x:is>
          <x:t xml:space="preserve">Cycle de conversion cash (jours)</x:t>
        </x:is>
      </x:c>
      <x:c r="F181" s="26" t="n">
        <x:v>10</x:v>
      </x:c>
      <x:c r="G181" s="26" t="n">
        <x:v>80</x:v>
      </x:c>
      <x:c r="H181" s="17" t="inlineStr">
        <x:is>
          <x:t xml:space="preserve">jours</x:t>
        </x:is>
      </x:c>
      <x:c r="I181" s="17" t="inlineStr">
        <x:is>
          <x:t xml:space="preserve">LOW_GOOD</x:t>
        </x:is>
      </x:c>
      <x:c r="J181" s="15" t="inlineStr">
        <x:is>
          <x:t xml:space="preserve">https://www.nbb.be/en/central-balance-sheet-office/consultation/statistics-annual-accounts-nbbstat</x:t>
        </x:is>
      </x:c>
      <x:c r="K181" s="15" t="inlineStr">
        <x:is>
          <x:t xml:space="preserve">Repères génériques. À adapter selon taille/maturité; remplacez par médianes/quartiles sectoriels si disponibles.</x:t>
        </x:is>
      </x:c>
    </x:row>
    <x:row r="182">
      <x:c r="A182" s="17" t="inlineStr">
        <x:is>
          <x:t xml:space="preserve">Belgique|Services|BFR_REV</x:t>
        </x:is>
      </x:c>
      <x:c r="B182" s="17" t="inlineStr">
        <x:is>
          <x:t xml:space="preserve">Belgique</x:t>
        </x:is>
      </x:c>
      <x:c r="C182" s="17" t="inlineStr">
        <x:is>
          <x:t xml:space="preserve">Services</x:t>
        </x:is>
      </x:c>
      <x:c r="D182" s="17" t="inlineStr">
        <x:is>
          <x:t xml:space="preserve">BFR_REV</x:t>
        </x:is>
      </x:c>
      <x:c r="E182" s="17" t="inlineStr">
        <x:is>
          <x:t xml:space="preserve">BFR / CA</x:t>
        </x:is>
      </x:c>
      <x:c r="F182" s="18" t="n">
        <x:v>0</x:v>
      </x:c>
      <x:c r="G182" s="18" t="n">
        <x:v>0.25</x:v>
      </x:c>
      <x:c r="H182" s="17" t="inlineStr">
        <x:is>
          <x:t xml:space="preserve">%</x:t>
        </x:is>
      </x:c>
      <x:c r="I182" s="17" t="inlineStr">
        <x:is>
          <x:t xml:space="preserve">RANGE</x:t>
        </x:is>
      </x:c>
      <x:c r="J182" s="15" t="inlineStr">
        <x:is>
          <x:t xml:space="preserve">https://www.nbb.be/en/central-balance-sheet-office/consultation/statistics-annual-accounts-nbbstat</x:t>
        </x:is>
      </x:c>
      <x:c r="K182" s="15" t="inlineStr">
        <x:is>
          <x:t xml:space="preserve">Repères génériques. À adapter selon taille/maturité; remplacez par médianes/quartiles sectoriels si disponibles.</x:t>
        </x:is>
      </x:c>
    </x:row>
    <x:row r="183">
      <x:c r="A183" s="17" t="inlineStr">
        <x:is>
          <x:t xml:space="preserve">Belgique|Services|EQ_RATIO</x:t>
        </x:is>
      </x:c>
      <x:c r="B183" s="17" t="inlineStr">
        <x:is>
          <x:t xml:space="preserve">Belgique</x:t>
        </x:is>
      </x:c>
      <x:c r="C183" s="17" t="inlineStr">
        <x:is>
          <x:t xml:space="preserve">Services</x:t>
        </x:is>
      </x:c>
      <x:c r="D183" s="17" t="inlineStr">
        <x:is>
          <x:t xml:space="preserve">EQ_RATIO</x:t>
        </x:is>
      </x:c>
      <x:c r="E183" s="17" t="inlineStr">
        <x:is>
          <x:t xml:space="preserve">Autonomie financière (CP/Total bilan)</x:t>
        </x:is>
      </x:c>
      <x:c r="F183" s="18" t="n">
        <x:v>0.3</x:v>
      </x:c>
      <x:c r="G183" s="18" t="n">
        <x:v>0.65</x:v>
      </x:c>
      <x:c r="H183" s="17" t="inlineStr">
        <x:is>
          <x:t xml:space="preserve">%</x:t>
        </x:is>
      </x:c>
      <x:c r="I183" s="17" t="inlineStr">
        <x:is>
          <x:t xml:space="preserve">HIGH_GOOD</x:t>
        </x:is>
      </x:c>
      <x:c r="J183" s="15" t="inlineStr">
        <x:is>
          <x:t xml:space="preserve">https://www.nbb.be/en/central-balance-sheet-office/consultation/statistics-annual-accounts-nbbstat</x:t>
        </x:is>
      </x:c>
      <x:c r="K183" s="15" t="inlineStr">
        <x:is>
          <x:t xml:space="preserve">Repères génériques. À adapter selon taille/maturité; remplacez par médianes/quartiles sectoriels si disponibles.</x:t>
        </x:is>
      </x:c>
    </x:row>
    <x:row r="184">
      <x:c r="A184" s="17" t="inlineStr">
        <x:is>
          <x:t xml:space="preserve">Belgique|Services|GEARING</x:t>
        </x:is>
      </x:c>
      <x:c r="B184" s="17" t="inlineStr">
        <x:is>
          <x:t xml:space="preserve">Belgique</x:t>
        </x:is>
      </x:c>
      <x:c r="C184" s="17" t="inlineStr">
        <x:is>
          <x:t xml:space="preserve">Services</x:t>
        </x:is>
      </x:c>
      <x:c r="D184" s="17" t="inlineStr">
        <x:is>
          <x:t xml:space="preserve">GEARING</x:t>
        </x:is>
      </x:c>
      <x:c r="E184" s="17" t="inlineStr">
        <x:is>
          <x:t xml:space="preserve">Gearing (Dette nette/CP)</x:t>
        </x:is>
      </x:c>
      <x:c r="F184" s="20" t="n">
        <x:v>0</x:v>
      </x:c>
      <x:c r="G184" s="20" t="n">
        <x:v>0.8</x:v>
      </x:c>
      <x:c r="H184" s="17" t="inlineStr">
        <x:is>
          <x:t xml:space="preserve">x</x:t>
        </x:is>
      </x:c>
      <x:c r="I184" s="17" t="inlineStr">
        <x:is>
          <x:t xml:space="preserve">LOW_GOOD</x:t>
        </x:is>
      </x:c>
      <x:c r="J184" s="15" t="inlineStr">
        <x:is>
          <x:t xml:space="preserve">https://www.nbb.be/en/central-balance-sheet-office/consultation/statistics-annual-accounts-nbbstat</x:t>
        </x:is>
      </x:c>
      <x:c r="K184" s="15" t="inlineStr">
        <x:is>
          <x:t xml:space="preserve">Repères génériques. À adapter selon taille/maturité; remplacez par médianes/quartiles sectoriels si disponibles.</x:t>
        </x:is>
      </x:c>
    </x:row>
    <x:row r="185">
      <x:c r="A185" s="17" t="inlineStr">
        <x:is>
          <x:t xml:space="preserve">Belgique|Services|CURR</x:t>
        </x:is>
      </x:c>
      <x:c r="B185" s="17" t="inlineStr">
        <x:is>
          <x:t xml:space="preserve">Belgique</x:t>
        </x:is>
      </x:c>
      <x:c r="C185" s="17" t="inlineStr">
        <x:is>
          <x:t xml:space="preserve">Services</x:t>
        </x:is>
      </x:c>
      <x:c r="D185" s="17" t="inlineStr">
        <x:is>
          <x:t xml:space="preserve">CURR</x:t>
        </x:is>
      </x:c>
      <x:c r="E185" s="17" t="inlineStr">
        <x:is>
          <x:t xml:space="preserve">Current ratio</x:t>
        </x:is>
      </x:c>
      <x:c r="F185" s="20" t="n">
        <x:v>1.2</x:v>
      </x:c>
      <x:c r="G185" s="20" t="n">
        <x:v>2.5</x:v>
      </x:c>
      <x:c r="H185" s="17" t="inlineStr">
        <x:is>
          <x:t xml:space="preserve">x</x:t>
        </x:is>
      </x:c>
      <x:c r="I185" s="17" t="inlineStr">
        <x:is>
          <x:t xml:space="preserve">RANGE</x:t>
        </x:is>
      </x:c>
      <x:c r="J185" s="15" t="inlineStr">
        <x:is>
          <x:t xml:space="preserve">https://www.nbb.be/en/central-balance-sheet-office/consultation/statistics-annual-accounts-nbbstat</x:t>
        </x:is>
      </x:c>
      <x:c r="K185" s="15" t="inlineStr">
        <x:is>
          <x:t xml:space="preserve">Repères génériques. À adapter selon taille/maturité; remplacez par médianes/quartiles sectoriels si disponibles.</x:t>
        </x:is>
      </x:c>
    </x:row>
    <x:row r="186">
      <x:c r="A186" s="17" t="inlineStr">
        <x:is>
          <x:t xml:space="preserve">Belgique|Services|QUICK</x:t>
        </x:is>
      </x:c>
      <x:c r="B186" s="17" t="inlineStr">
        <x:is>
          <x:t xml:space="preserve">Belgique</x:t>
        </x:is>
      </x:c>
      <x:c r="C186" s="17" t="inlineStr">
        <x:is>
          <x:t xml:space="preserve">Services</x:t>
        </x:is>
      </x:c>
      <x:c r="D186" s="17" t="inlineStr">
        <x:is>
          <x:t xml:space="preserve">QUICK</x:t>
        </x:is>
      </x:c>
      <x:c r="E186" s="17" t="inlineStr">
        <x:is>
          <x:t xml:space="preserve">Quick ratio</x:t>
        </x:is>
      </x:c>
      <x:c r="F186" s="20" t="n">
        <x:v>1</x:v>
      </x:c>
      <x:c r="G186" s="20" t="n">
        <x:v>2</x:v>
      </x:c>
      <x:c r="H186" s="17" t="inlineStr">
        <x:is>
          <x:t xml:space="preserve">x</x:t>
        </x:is>
      </x:c>
      <x:c r="I186" s="17" t="inlineStr">
        <x:is>
          <x:t xml:space="preserve">RANGE</x:t>
        </x:is>
      </x:c>
      <x:c r="J186" s="15" t="inlineStr">
        <x:is>
          <x:t xml:space="preserve">https://www.nbb.be/en/central-balance-sheet-office/consultation/statistics-annual-accounts-nbbstat</x:t>
        </x:is>
      </x:c>
      <x:c r="K186" s="15" t="inlineStr">
        <x:is>
          <x:t xml:space="preserve">Repères génériques. À adapter selon taille/maturité; remplacez par médianes/quartiles sectoriels si disponibles.</x:t>
        </x:is>
      </x:c>
    </x:row>
    <x:row r="187">
      <x:c r="A187" s="17" t="inlineStr">
        <x:is>
          <x:t xml:space="preserve">Belgique|Services|CASHR</x:t>
        </x:is>
      </x:c>
      <x:c r="B187" s="17" t="inlineStr">
        <x:is>
          <x:t xml:space="preserve">Belgique</x:t>
        </x:is>
      </x:c>
      <x:c r="C187" s="17" t="inlineStr">
        <x:is>
          <x:t xml:space="preserve">Services</x:t>
        </x:is>
      </x:c>
      <x:c r="D187" s="17" t="inlineStr">
        <x:is>
          <x:t xml:space="preserve">CASHR</x:t>
        </x:is>
      </x:c>
      <x:c r="E187" s="17" t="inlineStr">
        <x:is>
          <x:t xml:space="preserve">Cash ratio</x:t>
        </x:is>
      </x:c>
      <x:c r="F187" s="20" t="n">
        <x:v>0.25</x:v>
      </x:c>
      <x:c r="G187" s="20" t="n">
        <x:v>1</x:v>
      </x:c>
      <x:c r="H187" s="17" t="inlineStr">
        <x:is>
          <x:t xml:space="preserve">x</x:t>
        </x:is>
      </x:c>
      <x:c r="I187" s="17" t="inlineStr">
        <x:is>
          <x:t xml:space="preserve">RANGE</x:t>
        </x:is>
      </x:c>
      <x:c r="J187" s="15" t="inlineStr">
        <x:is>
          <x:t xml:space="preserve">https://www.nbb.be/en/central-balance-sheet-office/consultation/statistics-annual-accounts-nbbstat</x:t>
        </x:is>
      </x:c>
      <x:c r="K187" s="15" t="inlineStr">
        <x:is>
          <x:t xml:space="preserve">Repères génériques. À adapter selon taille/maturité; remplacez par médianes/quartiles sectoriels si disponibles.</x:t>
        </x:is>
      </x:c>
    </x:row>
    <x:row r="188">
      <x:c r="A188" s="17" t="inlineStr">
        <x:is>
          <x:t xml:space="preserve">Belgique|Services|ND_EBITDA</x:t>
        </x:is>
      </x:c>
      <x:c r="B188" s="17" t="inlineStr">
        <x:is>
          <x:t xml:space="preserve">Belgique</x:t>
        </x:is>
      </x:c>
      <x:c r="C188" s="17" t="inlineStr">
        <x:is>
          <x:t xml:space="preserve">Services</x:t>
        </x:is>
      </x:c>
      <x:c r="D188" s="17" t="inlineStr">
        <x:is>
          <x:t xml:space="preserve">ND_EBITDA</x:t>
        </x:is>
      </x:c>
      <x:c r="E188" s="17" t="inlineStr">
        <x:is>
          <x:t xml:space="preserve">Dette nette / EBITDA</x:t>
        </x:is>
      </x:c>
      <x:c r="F188" s="20" t="n">
        <x:v>0</x:v>
      </x:c>
      <x:c r="G188" s="20" t="n">
        <x:v>2.5</x:v>
      </x:c>
      <x:c r="H188" s="17" t="inlineStr">
        <x:is>
          <x:t xml:space="preserve">x</x:t>
        </x:is>
      </x:c>
      <x:c r="I188" s="17" t="inlineStr">
        <x:is>
          <x:t xml:space="preserve">LOW_GOOD</x:t>
        </x:is>
      </x:c>
      <x:c r="J188" s="15" t="inlineStr">
        <x:is>
          <x:t xml:space="preserve">https://www.nbb.be/en/central-balance-sheet-office/consultation/statistics-annual-accounts-nbbstat</x:t>
        </x:is>
      </x:c>
      <x:c r="K188" s="15" t="inlineStr">
        <x:is>
          <x:t xml:space="preserve">Repères génériques. À adapter selon taille/maturité; remplacez par médianes/quartiles sectoriels si disponibles.</x:t>
        </x:is>
      </x:c>
    </x:row>
    <x:row r="189">
      <x:c r="A189" s="17" t="inlineStr">
        <x:is>
          <x:t xml:space="preserve">Belgique|Services|D_E</x:t>
        </x:is>
      </x:c>
      <x:c r="B189" s="17" t="inlineStr">
        <x:is>
          <x:t xml:space="preserve">Belgique</x:t>
        </x:is>
      </x:c>
      <x:c r="C189" s="17" t="inlineStr">
        <x:is>
          <x:t xml:space="preserve">Services</x:t>
        </x:is>
      </x:c>
      <x:c r="D189" s="17" t="inlineStr">
        <x:is>
          <x:t xml:space="preserve">D_E</x:t>
        </x:is>
      </x:c>
      <x:c r="E189" s="17" t="inlineStr">
        <x:is>
          <x:t xml:space="preserve">Dette / CP</x:t>
        </x:is>
      </x:c>
      <x:c r="F189" s="20" t="n">
        <x:v>0</x:v>
      </x:c>
      <x:c r="G189" s="20" t="n">
        <x:v>1.2</x:v>
      </x:c>
      <x:c r="H189" s="17" t="inlineStr">
        <x:is>
          <x:t xml:space="preserve">x</x:t>
        </x:is>
      </x:c>
      <x:c r="I189" s="17" t="inlineStr">
        <x:is>
          <x:t xml:space="preserve">LOW_GOOD</x:t>
        </x:is>
      </x:c>
      <x:c r="J189" s="15" t="inlineStr">
        <x:is>
          <x:t xml:space="preserve">https://www.nbb.be/en/central-balance-sheet-office/consultation/statistics-annual-accounts-nbbstat</x:t>
        </x:is>
      </x:c>
      <x:c r="K189" s="15" t="inlineStr">
        <x:is>
          <x:t xml:space="preserve">Repères génériques. À adapter selon taille/maturité; remplacez par médianes/quartiles sectoriels si disponibles.</x:t>
        </x:is>
      </x:c>
    </x:row>
    <x:row r="190">
      <x:c r="A190" s="17" t="inlineStr">
        <x:is>
          <x:t xml:space="preserve">Belgique|Services|ICR</x:t>
        </x:is>
      </x:c>
      <x:c r="B190" s="17" t="inlineStr">
        <x:is>
          <x:t xml:space="preserve">Belgique</x:t>
        </x:is>
      </x:c>
      <x:c r="C190" s="17" t="inlineStr">
        <x:is>
          <x:t xml:space="preserve">Services</x:t>
        </x:is>
      </x:c>
      <x:c r="D190" s="17" t="inlineStr">
        <x:is>
          <x:t xml:space="preserve">ICR</x:t>
        </x:is>
      </x:c>
      <x:c r="E190" s="17" t="inlineStr">
        <x:is>
          <x:t xml:space="preserve">Couverture intérêts (EBIT/Intérêts)</x:t>
        </x:is>
      </x:c>
      <x:c r="F190" s="20" t="n">
        <x:v>3</x:v>
      </x:c>
      <x:c r="G190" s="20" t="n">
        <x:v>15</x:v>
      </x:c>
      <x:c r="H190" s="17" t="inlineStr">
        <x:is>
          <x:t xml:space="preserve">x</x:t>
        </x:is>
      </x:c>
      <x:c r="I190" s="17" t="inlineStr">
        <x:is>
          <x:t xml:space="preserve">HIGH_GOOD</x:t>
        </x:is>
      </x:c>
      <x:c r="J190" s="15" t="inlineStr">
        <x:is>
          <x:t xml:space="preserve">https://www.nbb.be/en/central-balance-sheet-office/consultation/statistics-annual-accounts-nbbstat</x:t>
        </x:is>
      </x:c>
      <x:c r="K190" s="15" t="inlineStr">
        <x:is>
          <x:t xml:space="preserve">Repères génériques. À adapter selon taille/maturité; remplacez par médianes/quartiles sectoriels si disponibles.</x:t>
        </x:is>
      </x:c>
    </x:row>
    <x:row r="191">
      <x:c r="A191" s="17" t="inlineStr">
        <x:is>
          <x:t xml:space="preserve">Belgique|Services|DSCR</x:t>
        </x:is>
      </x:c>
      <x:c r="B191" s="17" t="inlineStr">
        <x:is>
          <x:t xml:space="preserve">Belgique</x:t>
        </x:is>
      </x:c>
      <x:c r="C191" s="17" t="inlineStr">
        <x:is>
          <x:t xml:space="preserve">Services</x:t>
        </x:is>
      </x:c>
      <x:c r="D191" s="17" t="inlineStr">
        <x:is>
          <x:t xml:space="preserve">DSCR</x:t>
        </x:is>
      </x:c>
      <x:c r="E191" s="17" t="inlineStr">
        <x:is>
          <x:t xml:space="preserve">DSCR</x:t>
        </x:is>
      </x:c>
      <x:c r="F191" s="20" t="n">
        <x:v>1.2</x:v>
      </x:c>
      <x:c r="G191" s="20" t="n">
        <x:v>3.5</x:v>
      </x:c>
      <x:c r="H191" s="17" t="inlineStr">
        <x:is>
          <x:t xml:space="preserve">x</x:t>
        </x:is>
      </x:c>
      <x:c r="I191" s="17" t="inlineStr">
        <x:is>
          <x:t xml:space="preserve">HIGH_GOOD</x:t>
        </x:is>
      </x:c>
      <x:c r="J191" s="15" t="inlineStr">
        <x:is>
          <x:t xml:space="preserve">https://www.nbb.be/en/central-balance-sheet-office/consultation/statistics-annual-accounts-nbbstat</x:t>
        </x:is>
      </x:c>
      <x:c r="K191" s="15" t="inlineStr">
        <x:is>
          <x:t xml:space="preserve">Repères génériques. À adapter selon taille/maturité; remplacez par médianes/quartiles sectoriels si disponibles.</x:t>
        </x:is>
      </x:c>
    </x:row>
    <x:row r="192">
      <x:c r="A192" s="17" t="inlineStr">
        <x:is>
          <x:t xml:space="preserve">Belgique|Services|CFO_NI</x:t>
        </x:is>
      </x:c>
      <x:c r="B192" s="17" t="inlineStr">
        <x:is>
          <x:t xml:space="preserve">Belgique</x:t>
        </x:is>
      </x:c>
      <x:c r="C192" s="17" t="inlineStr">
        <x:is>
          <x:t xml:space="preserve">Services</x:t>
        </x:is>
      </x:c>
      <x:c r="D192" s="17" t="inlineStr">
        <x:is>
          <x:t xml:space="preserve">CFO_NI</x:t>
        </x:is>
      </x:c>
      <x:c r="E192" s="17" t="inlineStr">
        <x:is>
          <x:t xml:space="preserve">CFO / RN</x:t>
        </x:is>
      </x:c>
      <x:c r="F192" s="20" t="n">
        <x:v>0.9</x:v>
      </x:c>
      <x:c r="G192" s="20" t="n">
        <x:v>1.7</x:v>
      </x:c>
      <x:c r="H192" s="17" t="inlineStr">
        <x:is>
          <x:t xml:space="preserve">x</x:t>
        </x:is>
      </x:c>
      <x:c r="I192" s="17" t="inlineStr">
        <x:is>
          <x:t xml:space="preserve">HIGH_GOOD</x:t>
        </x:is>
      </x:c>
      <x:c r="J192" s="15" t="inlineStr">
        <x:is>
          <x:t xml:space="preserve">https://www.nbb.be/en/central-balance-sheet-office/consultation/statistics-annual-accounts-nbbstat</x:t>
        </x:is>
      </x:c>
      <x:c r="K192" s="15" t="inlineStr">
        <x:is>
          <x:t xml:space="preserve">Repères génériques. À adapter selon taille/maturité; remplacez par médianes/quartiles sectoriels si disponibles.</x:t>
        </x:is>
      </x:c>
    </x:row>
    <x:row r="193">
      <x:c r="A193" s="17" t="inlineStr">
        <x:is>
          <x:t xml:space="preserve">Belgique|Services|ROA</x:t>
        </x:is>
      </x:c>
      <x:c r="B193" s="17" t="inlineStr">
        <x:is>
          <x:t xml:space="preserve">Belgique</x:t>
        </x:is>
      </x:c>
      <x:c r="C193" s="17" t="inlineStr">
        <x:is>
          <x:t xml:space="preserve">Services</x:t>
        </x:is>
      </x:c>
      <x:c r="D193" s="17" t="inlineStr">
        <x:is>
          <x:t xml:space="preserve">ROA</x:t>
        </x:is>
      </x:c>
      <x:c r="E193" s="17" t="inlineStr">
        <x:is>
          <x:t xml:space="preserve">ROA</x:t>
        </x:is>
      </x:c>
      <x:c r="F193" s="18" t="n">
        <x:v>0.03</x:v>
      </x:c>
      <x:c r="G193" s="18" t="n">
        <x:v>0.1</x:v>
      </x:c>
      <x:c r="H193" s="17" t="inlineStr">
        <x:is>
          <x:t xml:space="preserve">%</x:t>
        </x:is>
      </x:c>
      <x:c r="I193" s="17" t="inlineStr">
        <x:is>
          <x:t xml:space="preserve">HIGH_GOOD</x:t>
        </x:is>
      </x:c>
      <x:c r="J193" s="15" t="inlineStr">
        <x:is>
          <x:t xml:space="preserve">https://www.nbb.be/en/central-balance-sheet-office/consultation/statistics-annual-accounts-nbbstat</x:t>
        </x:is>
      </x:c>
      <x:c r="K193" s="15" t="inlineStr">
        <x:is>
          <x:t xml:space="preserve">Repères génériques. À adapter selon taille/maturité; remplacez par médianes/quartiles sectoriels si disponibles.</x:t>
        </x:is>
      </x:c>
    </x:row>
    <x:row r="194">
      <x:c r="A194" s="17" t="inlineStr">
        <x:is>
          <x:t xml:space="preserve">Belgique|Services|ROE</x:t>
        </x:is>
      </x:c>
      <x:c r="B194" s="17" t="inlineStr">
        <x:is>
          <x:t xml:space="preserve">Belgique</x:t>
        </x:is>
      </x:c>
      <x:c r="C194" s="17" t="inlineStr">
        <x:is>
          <x:t xml:space="preserve">Services</x:t>
        </x:is>
      </x:c>
      <x:c r="D194" s="17" t="inlineStr">
        <x:is>
          <x:t xml:space="preserve">ROE</x:t>
        </x:is>
      </x:c>
      <x:c r="E194" s="17" t="inlineStr">
        <x:is>
          <x:t xml:space="preserve">ROE</x:t>
        </x:is>
      </x:c>
      <x:c r="F194" s="18" t="n">
        <x:v>0.1</x:v>
      </x:c>
      <x:c r="G194" s="18" t="n">
        <x:v>0.22</x:v>
      </x:c>
      <x:c r="H194" s="17" t="inlineStr">
        <x:is>
          <x:t xml:space="preserve">%</x:t>
        </x:is>
      </x:c>
      <x:c r="I194" s="17" t="inlineStr">
        <x:is>
          <x:t xml:space="preserve">HIGH_GOOD</x:t>
        </x:is>
      </x:c>
      <x:c r="J194" s="15" t="inlineStr">
        <x:is>
          <x:t xml:space="preserve">https://www.nbb.be/en/central-balance-sheet-office/consultation/statistics-annual-accounts-nbbstat</x:t>
        </x:is>
      </x:c>
      <x:c r="K194" s="15" t="inlineStr">
        <x:is>
          <x:t xml:space="preserve">Repères génériques. À adapter selon taille/maturité; remplacez par médianes/quartiles sectoriels si disponibles.</x:t>
        </x:is>
      </x:c>
    </x:row>
    <x:row r="195">
      <x:c r="A195" s="17" t="inlineStr">
        <x:is>
          <x:t xml:space="preserve">Belgique|Services|ROCE</x:t>
        </x:is>
      </x:c>
      <x:c r="B195" s="17" t="inlineStr">
        <x:is>
          <x:t xml:space="preserve">Belgique</x:t>
        </x:is>
      </x:c>
      <x:c r="C195" s="17" t="inlineStr">
        <x:is>
          <x:t xml:space="preserve">Services</x:t>
        </x:is>
      </x:c>
      <x:c r="D195" s="17" t="inlineStr">
        <x:is>
          <x:t xml:space="preserve">ROCE</x:t>
        </x:is>
      </x:c>
      <x:c r="E195" s="17" t="inlineStr">
        <x:is>
          <x:t xml:space="preserve">ROCE</x:t>
        </x:is>
      </x:c>
      <x:c r="F195" s="18" t="n">
        <x:v>0.1</x:v>
      </x:c>
      <x:c r="G195" s="18" t="n">
        <x:v>0.25</x:v>
      </x:c>
      <x:c r="H195" s="17" t="inlineStr">
        <x:is>
          <x:t xml:space="preserve">%</x:t>
        </x:is>
      </x:c>
      <x:c r="I195" s="17" t="inlineStr">
        <x:is>
          <x:t xml:space="preserve">HIGH_GOOD</x:t>
        </x:is>
      </x:c>
      <x:c r="J195" s="15" t="inlineStr">
        <x:is>
          <x:t xml:space="preserve">https://www.nbb.be/en/central-balance-sheet-office/consultation/statistics-annual-accounts-nbbstat</x:t>
        </x:is>
      </x:c>
      <x:c r="K195" s="15" t="inlineStr">
        <x:is>
          <x:t xml:space="preserve">Repères génériques. À adapter selon taille/maturité; remplacez par médianes/quartiles sectoriels si disponibles.</x:t>
        </x:is>
      </x:c>
    </x:row>
    <x:row r="196">
      <x:c r="A196" s="17" t="inlineStr">
        <x:is>
          <x:t xml:space="preserve">Belgique|SaaS|M_GROSS</x:t>
        </x:is>
      </x:c>
      <x:c r="B196" s="17" t="inlineStr">
        <x:is>
          <x:t xml:space="preserve">Belgique</x:t>
        </x:is>
      </x:c>
      <x:c r="C196" s="17" t="inlineStr">
        <x:is>
          <x:t xml:space="preserve">SaaS</x:t>
        </x:is>
      </x:c>
      <x:c r="D196" s="17" t="inlineStr">
        <x:is>
          <x:t xml:space="preserve">M_GROSS</x:t>
        </x:is>
      </x:c>
      <x:c r="E196" s="17" t="inlineStr">
        <x:is>
          <x:t xml:space="preserve">Marge brute</x:t>
        </x:is>
      </x:c>
      <x:c r="F196" s="18" t="n">
        <x:v>0.7</x:v>
      </x:c>
      <x:c r="G196" s="18" t="n">
        <x:v>0.9</x:v>
      </x:c>
      <x:c r="H196" s="17" t="inlineStr">
        <x:is>
          <x:t xml:space="preserve">%</x:t>
        </x:is>
      </x:c>
      <x:c r="I196" s="17" t="inlineStr">
        <x:is>
          <x:t xml:space="preserve">HIGH_GOOD</x:t>
        </x:is>
      </x:c>
      <x:c r="J196" s="15" t="inlineStr">
        <x:is>
          <x:t xml:space="preserve">https://www.nbb.be/en/central-balance-sheet-office/consultation/statistics-annual-accounts-nbbstat</x:t>
        </x:is>
      </x:c>
      <x:c r="K196" s="15" t="inlineStr">
        <x:is>
          <x:t xml:space="preserve">Repères génériques. À adapter selon taille/maturité; remplacez par médianes/quartiles sectoriels si disponibles.</x:t>
        </x:is>
      </x:c>
    </x:row>
    <x:row r="197">
      <x:c r="A197" s="17" t="inlineStr">
        <x:is>
          <x:t xml:space="preserve">Belgique|SaaS|M_EBITDA</x:t>
        </x:is>
      </x:c>
      <x:c r="B197" s="17" t="inlineStr">
        <x:is>
          <x:t xml:space="preserve">Belgique</x:t>
        </x:is>
      </x:c>
      <x:c r="C197" s="17" t="inlineStr">
        <x:is>
          <x:t xml:space="preserve">SaaS</x:t>
        </x:is>
      </x:c>
      <x:c r="D197" s="17" t="inlineStr">
        <x:is>
          <x:t xml:space="preserve">M_EBITDA</x:t>
        </x:is>
      </x:c>
      <x:c r="E197" s="17" t="inlineStr">
        <x:is>
          <x:t xml:space="preserve">Marge EBITDA</x:t>
        </x:is>
      </x:c>
      <x:c r="F197" s="18" t="n">
        <x:v>0</x:v>
      </x:c>
      <x:c r="G197" s="18" t="n">
        <x:v>0.3</x:v>
      </x:c>
      <x:c r="H197" s="17" t="inlineStr">
        <x:is>
          <x:t xml:space="preserve">%</x:t>
        </x:is>
      </x:c>
      <x:c r="I197" s="17" t="inlineStr">
        <x:is>
          <x:t xml:space="preserve">HIGH_GOOD</x:t>
        </x:is>
      </x:c>
      <x:c r="J197" s="15" t="inlineStr">
        <x:is>
          <x:t xml:space="preserve">https://www.nbb.be/en/central-balance-sheet-office/consultation/statistics-annual-accounts-nbbstat</x:t>
        </x:is>
      </x:c>
      <x:c r="K197" s="15" t="inlineStr">
        <x:is>
          <x:t xml:space="preserve">Repères génériques. À adapter selon taille/maturité; remplacez par médianes/quartiles sectoriels si disponibles.</x:t>
        </x:is>
      </x:c>
    </x:row>
    <x:row r="198">
      <x:c r="A198" s="17" t="inlineStr">
        <x:is>
          <x:t xml:space="preserve">Belgique|SaaS|M_EBIT</x:t>
        </x:is>
      </x:c>
      <x:c r="B198" s="17" t="inlineStr">
        <x:is>
          <x:t xml:space="preserve">Belgique</x:t>
        </x:is>
      </x:c>
      <x:c r="C198" s="17" t="inlineStr">
        <x:is>
          <x:t xml:space="preserve">SaaS</x:t>
        </x:is>
      </x:c>
      <x:c r="D198" s="17" t="inlineStr">
        <x:is>
          <x:t xml:space="preserve">M_EBIT</x:t>
        </x:is>
      </x:c>
      <x:c r="E198" s="17" t="inlineStr">
        <x:is>
          <x:t xml:space="preserve">Marge EBIT</x:t>
        </x:is>
      </x:c>
      <x:c r="F198" s="18" t="n">
        <x:v>-0.05</x:v>
      </x:c>
      <x:c r="G198" s="18" t="n">
        <x:v>0.2</x:v>
      </x:c>
      <x:c r="H198" s="17" t="inlineStr">
        <x:is>
          <x:t xml:space="preserve">%</x:t>
        </x:is>
      </x:c>
      <x:c r="I198" s="17" t="inlineStr">
        <x:is>
          <x:t xml:space="preserve">HIGH_GOOD</x:t>
        </x:is>
      </x:c>
      <x:c r="J198" s="15" t="inlineStr">
        <x:is>
          <x:t xml:space="preserve">https://www.nbb.be/en/central-balance-sheet-office/consultation/statistics-annual-accounts-nbbstat</x:t>
        </x:is>
      </x:c>
      <x:c r="K198" s="15" t="inlineStr">
        <x:is>
          <x:t xml:space="preserve">Repères génériques. À adapter selon taille/maturité; remplacez par médianes/quartiles sectoriels si disponibles.</x:t>
        </x:is>
      </x:c>
    </x:row>
    <x:row r="199">
      <x:c r="A199" s="17" t="inlineStr">
        <x:is>
          <x:t xml:space="preserve">Belgique|SaaS|M_NET</x:t>
        </x:is>
      </x:c>
      <x:c r="B199" s="17" t="inlineStr">
        <x:is>
          <x:t xml:space="preserve">Belgique</x:t>
        </x:is>
      </x:c>
      <x:c r="C199" s="17" t="inlineStr">
        <x:is>
          <x:t xml:space="preserve">SaaS</x:t>
        </x:is>
      </x:c>
      <x:c r="D199" s="17" t="inlineStr">
        <x:is>
          <x:t xml:space="preserve">M_NET</x:t>
        </x:is>
      </x:c>
      <x:c r="E199" s="17" t="inlineStr">
        <x:is>
          <x:t xml:space="preserve">Marge nette</x:t>
        </x:is>
      </x:c>
      <x:c r="F199" s="18" t="n">
        <x:v>-0.1</x:v>
      </x:c>
      <x:c r="G199" s="18" t="n">
        <x:v>0.15</x:v>
      </x:c>
      <x:c r="H199" s="17" t="inlineStr">
        <x:is>
          <x:t xml:space="preserve">%</x:t>
        </x:is>
      </x:c>
      <x:c r="I199" s="17" t="inlineStr">
        <x:is>
          <x:t xml:space="preserve">HIGH_GOOD</x:t>
        </x:is>
      </x:c>
      <x:c r="J199" s="15" t="inlineStr">
        <x:is>
          <x:t xml:space="preserve">https://www.nbb.be/en/central-balance-sheet-office/consultation/statistics-annual-accounts-nbbstat</x:t>
        </x:is>
      </x:c>
      <x:c r="K199" s="15" t="inlineStr">
        <x:is>
          <x:t xml:space="preserve">Repères génériques. À adapter selon taille/maturité; remplacez par médianes/quartiles sectoriels si disponibles.</x:t>
        </x:is>
      </x:c>
    </x:row>
    <x:row r="200">
      <x:c r="A200" s="17" t="inlineStr">
        <x:is>
          <x:t xml:space="preserve">Belgique|SaaS|G_REV</x:t>
        </x:is>
      </x:c>
      <x:c r="B200" s="17" t="inlineStr">
        <x:is>
          <x:t xml:space="preserve">Belgique</x:t>
        </x:is>
      </x:c>
      <x:c r="C200" s="17" t="inlineStr">
        <x:is>
          <x:t xml:space="preserve">SaaS</x:t>
        </x:is>
      </x:c>
      <x:c r="D200" s="17" t="inlineStr">
        <x:is>
          <x:t xml:space="preserve">G_REV</x:t>
        </x:is>
      </x:c>
      <x:c r="E200" s="17" t="inlineStr">
        <x:is>
          <x:t xml:space="preserve">Croissance CA</x:t>
        </x:is>
      </x:c>
      <x:c r="F200" s="18" t="n">
        <x:v>0.05</x:v>
      </x:c>
      <x:c r="G200" s="18" t="n">
        <x:v>0.4</x:v>
      </x:c>
      <x:c r="H200" s="17" t="inlineStr">
        <x:is>
          <x:t xml:space="preserve">%</x:t>
        </x:is>
      </x:c>
      <x:c r="I200" s="17" t="inlineStr">
        <x:is>
          <x:t xml:space="preserve">HIGH_GOOD</x:t>
        </x:is>
      </x:c>
      <x:c r="J200" s="15" t="inlineStr">
        <x:is>
          <x:t xml:space="preserve">https://www.nbb.be/en/central-balance-sheet-office/consultation/statistics-annual-accounts-nbbstat</x:t>
        </x:is>
      </x:c>
      <x:c r="K200" s="15" t="inlineStr">
        <x:is>
          <x:t xml:space="preserve">Repères génériques. À adapter selon taille/maturité; remplacez par médianes/quartiles sectoriels si disponibles.</x:t>
        </x:is>
      </x:c>
    </x:row>
    <x:row r="201">
      <x:c r="A201" s="17" t="inlineStr">
        <x:is>
          <x:t xml:space="preserve">Belgique|SaaS|G_NI</x:t>
        </x:is>
      </x:c>
      <x:c r="B201" s="17" t="inlineStr">
        <x:is>
          <x:t xml:space="preserve">Belgique</x:t>
        </x:is>
      </x:c>
      <x:c r="C201" s="17" t="inlineStr">
        <x:is>
          <x:t xml:space="preserve">SaaS</x:t>
        </x:is>
      </x:c>
      <x:c r="D201" s="17" t="inlineStr">
        <x:is>
          <x:t xml:space="preserve">G_NI</x:t>
        </x:is>
      </x:c>
      <x:c r="E201" s="17" t="inlineStr">
        <x:is>
          <x:t xml:space="preserve">Croissance RN</x:t>
        </x:is>
      </x:c>
      <x:c r="F201" s="18" t="n">
        <x:v>-0.2</x:v>
      </x:c>
      <x:c r="G201" s="18" t="n">
        <x:v>0.3</x:v>
      </x:c>
      <x:c r="H201" s="17" t="inlineStr">
        <x:is>
          <x:t xml:space="preserve">%</x:t>
        </x:is>
      </x:c>
      <x:c r="I201" s="17" t="inlineStr">
        <x:is>
          <x:t xml:space="preserve">HIGH_GOOD</x:t>
        </x:is>
      </x:c>
      <x:c r="J201" s="15" t="inlineStr">
        <x:is>
          <x:t xml:space="preserve">https://www.nbb.be/en/central-balance-sheet-office/consultation/statistics-annual-accounts-nbbstat</x:t>
        </x:is>
      </x:c>
      <x:c r="K201" s="15" t="inlineStr">
        <x:is>
          <x:t xml:space="preserve">Repères génériques. À adapter selon taille/maturité; remplacez par médianes/quartiles sectoriels si disponibles.</x:t>
        </x:is>
      </x:c>
    </x:row>
    <x:row r="202">
      <x:c r="A202" s="17" t="inlineStr">
        <x:is>
          <x:t xml:space="preserve">Belgique|SaaS|D_INV</x:t>
        </x:is>
      </x:c>
      <x:c r="B202" s="17" t="inlineStr">
        <x:is>
          <x:t xml:space="preserve">Belgique</x:t>
        </x:is>
      </x:c>
      <x:c r="C202" s="17" t="inlineStr">
        <x:is>
          <x:t xml:space="preserve">SaaS</x:t>
        </x:is>
      </x:c>
      <x:c r="D202" s="17" t="inlineStr">
        <x:is>
          <x:t xml:space="preserve">D_INV</x:t>
        </x:is>
      </x:c>
      <x:c r="E202" s="17" t="inlineStr">
        <x:is>
          <x:t xml:space="preserve">Jours de stocks</x:t>
        </x:is>
      </x:c>
      <x:c r="F202" s="26" t="n">
        <x:v>0</x:v>
      </x:c>
      <x:c r="G202" s="26" t="n">
        <x:v>5</x:v>
      </x:c>
      <x:c r="H202" s="17" t="inlineStr">
        <x:is>
          <x:t xml:space="preserve">jours</x:t>
        </x:is>
      </x:c>
      <x:c r="I202" s="17" t="inlineStr">
        <x:is>
          <x:t xml:space="preserve">LOW_GOOD</x:t>
        </x:is>
      </x:c>
      <x:c r="J202" s="15" t="inlineStr">
        <x:is>
          <x:t xml:space="preserve">https://www.nbb.be/en/central-balance-sheet-office/consultation/statistics-annual-accounts-nbbstat</x:t>
        </x:is>
      </x:c>
      <x:c r="K202" s="15" t="inlineStr">
        <x:is>
          <x:t xml:space="preserve">Repères génériques. À adapter selon taille/maturité; remplacez par médianes/quartiles sectoriels si disponibles.</x:t>
        </x:is>
      </x:c>
    </x:row>
    <x:row r="203">
      <x:c r="A203" s="17" t="inlineStr">
        <x:is>
          <x:t xml:space="preserve">Belgique|SaaS|DSO</x:t>
        </x:is>
      </x:c>
      <x:c r="B203" s="17" t="inlineStr">
        <x:is>
          <x:t xml:space="preserve">Belgique</x:t>
        </x:is>
      </x:c>
      <x:c r="C203" s="17" t="inlineStr">
        <x:is>
          <x:t xml:space="preserve">SaaS</x:t>
        </x:is>
      </x:c>
      <x:c r="D203" s="17" t="inlineStr">
        <x:is>
          <x:t xml:space="preserve">DSO</x:t>
        </x:is>
      </x:c>
      <x:c r="E203" s="17" t="inlineStr">
        <x:is>
          <x:t xml:space="preserve">DSO (jours clients)</x:t>
        </x:is>
      </x:c>
      <x:c r="F203" s="26" t="n">
        <x:v>30</x:v>
      </x:c>
      <x:c r="G203" s="26" t="n">
        <x:v>75</x:v>
      </x:c>
      <x:c r="H203" s="17" t="inlineStr">
        <x:is>
          <x:t xml:space="preserve">jours</x:t>
        </x:is>
      </x:c>
      <x:c r="I203" s="17" t="inlineStr">
        <x:is>
          <x:t xml:space="preserve">LOW_GOOD</x:t>
        </x:is>
      </x:c>
      <x:c r="J203" s="15" t="inlineStr">
        <x:is>
          <x:t xml:space="preserve">https://www.nbb.be/en/central-balance-sheet-office/consultation/statistics-annual-accounts-nbbstat</x:t>
        </x:is>
      </x:c>
      <x:c r="K203" s="15" t="inlineStr">
        <x:is>
          <x:t xml:space="preserve">Repère. Délais B2B encadrés (max ~60 jours sauf accords).</x:t>
        </x:is>
      </x:c>
    </x:row>
    <x:row r="204">
      <x:c r="A204" s="17" t="inlineStr">
        <x:is>
          <x:t xml:space="preserve">Belgique|SaaS|DPO</x:t>
        </x:is>
      </x:c>
      <x:c r="B204" s="17" t="inlineStr">
        <x:is>
          <x:t xml:space="preserve">Belgique</x:t>
        </x:is>
      </x:c>
      <x:c r="C204" s="17" t="inlineStr">
        <x:is>
          <x:t xml:space="preserve">SaaS</x:t>
        </x:is>
      </x:c>
      <x:c r="D204" s="17" t="inlineStr">
        <x:is>
          <x:t xml:space="preserve">DPO</x:t>
        </x:is>
      </x:c>
      <x:c r="E204" s="17" t="inlineStr">
        <x:is>
          <x:t xml:space="preserve">DPO (jours fournisseurs)</x:t>
        </x:is>
      </x:c>
      <x:c r="F204" s="26" t="n">
        <x:v>30</x:v>
      </x:c>
      <x:c r="G204" s="26" t="n">
        <x:v>90</x:v>
      </x:c>
      <x:c r="H204" s="17" t="inlineStr">
        <x:is>
          <x:t xml:space="preserve">jours</x:t>
        </x:is>
      </x:c>
      <x:c r="I204" s="17" t="inlineStr">
        <x:is>
          <x:t xml:space="preserve">RANGE</x:t>
        </x:is>
      </x:c>
      <x:c r="J204" s="15" t="inlineStr">
        <x:is>
          <x:t xml:space="preserve">https://www.nbb.be/en/central-balance-sheet-office/consultation/statistics-annual-accounts-nbbstat</x:t>
        </x:is>
      </x:c>
      <x:c r="K204" s="15" t="inlineStr">
        <x:is>
          <x:t xml:space="preserve">Repère. Délais B2B encadrés (max ~60 jours sauf accords).</x:t>
        </x:is>
      </x:c>
    </x:row>
    <x:row r="205">
      <x:c r="A205" s="17" t="inlineStr">
        <x:is>
          <x:t xml:space="preserve">Belgique|SaaS|CCC</x:t>
        </x:is>
      </x:c>
      <x:c r="B205" s="17" t="inlineStr">
        <x:is>
          <x:t xml:space="preserve">Belgique</x:t>
        </x:is>
      </x:c>
      <x:c r="C205" s="17" t="inlineStr">
        <x:is>
          <x:t xml:space="preserve">SaaS</x:t>
        </x:is>
      </x:c>
      <x:c r="D205" s="17" t="inlineStr">
        <x:is>
          <x:t xml:space="preserve">CCC</x:t>
        </x:is>
      </x:c>
      <x:c r="E205" s="17" t="inlineStr">
        <x:is>
          <x:t xml:space="preserve">Cycle de conversion cash (jours)</x:t>
        </x:is>
      </x:c>
      <x:c r="F205" s="26" t="n">
        <x:v>-30</x:v>
      </x:c>
      <x:c r="G205" s="26" t="n">
        <x:v>30</x:v>
      </x:c>
      <x:c r="H205" s="17" t="inlineStr">
        <x:is>
          <x:t xml:space="preserve">jours</x:t>
        </x:is>
      </x:c>
      <x:c r="I205" s="17" t="inlineStr">
        <x:is>
          <x:t xml:space="preserve">LOW_GOOD</x:t>
        </x:is>
      </x:c>
      <x:c r="J205" s="15" t="inlineStr">
        <x:is>
          <x:t xml:space="preserve">https://www.nbb.be/en/central-balance-sheet-office/consultation/statistics-annual-accounts-nbbstat</x:t>
        </x:is>
      </x:c>
      <x:c r="K205" s="15" t="inlineStr">
        <x:is>
          <x:t xml:space="preserve">Repères génériques. À adapter selon taille/maturité; remplacez par médianes/quartiles sectoriels si disponibles.</x:t>
        </x:is>
      </x:c>
    </x:row>
    <x:row r="206">
      <x:c r="A206" s="17" t="inlineStr">
        <x:is>
          <x:t xml:space="preserve">Belgique|SaaS|BFR_REV</x:t>
        </x:is>
      </x:c>
      <x:c r="B206" s="17" t="inlineStr">
        <x:is>
          <x:t xml:space="preserve">Belgique</x:t>
        </x:is>
      </x:c>
      <x:c r="C206" s="17" t="inlineStr">
        <x:is>
          <x:t xml:space="preserve">SaaS</x:t>
        </x:is>
      </x:c>
      <x:c r="D206" s="17" t="inlineStr">
        <x:is>
          <x:t xml:space="preserve">BFR_REV</x:t>
        </x:is>
      </x:c>
      <x:c r="E206" s="17" t="inlineStr">
        <x:is>
          <x:t xml:space="preserve">BFR / CA</x:t>
        </x:is>
      </x:c>
      <x:c r="F206" s="18" t="n">
        <x:v>-0.1</x:v>
      </x:c>
      <x:c r="G206" s="18" t="n">
        <x:v>0.15</x:v>
      </x:c>
      <x:c r="H206" s="17" t="inlineStr">
        <x:is>
          <x:t xml:space="preserve">%</x:t>
        </x:is>
      </x:c>
      <x:c r="I206" s="17" t="inlineStr">
        <x:is>
          <x:t xml:space="preserve">RANGE</x:t>
        </x:is>
      </x:c>
      <x:c r="J206" s="15" t="inlineStr">
        <x:is>
          <x:t xml:space="preserve">https://www.nbb.be/en/central-balance-sheet-office/consultation/statistics-annual-accounts-nbbstat</x:t>
        </x:is>
      </x:c>
      <x:c r="K206" s="15" t="inlineStr">
        <x:is>
          <x:t xml:space="preserve">Repères génériques. À adapter selon taille/maturité; remplacez par médianes/quartiles sectoriels si disponibles.</x:t>
        </x:is>
      </x:c>
    </x:row>
    <x:row r="207">
      <x:c r="A207" s="17" t="inlineStr">
        <x:is>
          <x:t xml:space="preserve">Belgique|SaaS|EQ_RATIO</x:t>
        </x:is>
      </x:c>
      <x:c r="B207" s="17" t="inlineStr">
        <x:is>
          <x:t xml:space="preserve">Belgique</x:t>
        </x:is>
      </x:c>
      <x:c r="C207" s="17" t="inlineStr">
        <x:is>
          <x:t xml:space="preserve">SaaS</x:t>
        </x:is>
      </x:c>
      <x:c r="D207" s="17" t="inlineStr">
        <x:is>
          <x:t xml:space="preserve">EQ_RATIO</x:t>
        </x:is>
      </x:c>
      <x:c r="E207" s="17" t="inlineStr">
        <x:is>
          <x:t xml:space="preserve">Autonomie financière (CP/Total bilan)</x:t>
        </x:is>
      </x:c>
      <x:c r="F207" s="18" t="n">
        <x:v>0.35</x:v>
      </x:c>
      <x:c r="G207" s="18" t="n">
        <x:v>0.8</x:v>
      </x:c>
      <x:c r="H207" s="17" t="inlineStr">
        <x:is>
          <x:t xml:space="preserve">%</x:t>
        </x:is>
      </x:c>
      <x:c r="I207" s="17" t="inlineStr">
        <x:is>
          <x:t xml:space="preserve">HIGH_GOOD</x:t>
        </x:is>
      </x:c>
      <x:c r="J207" s="15" t="inlineStr">
        <x:is>
          <x:t xml:space="preserve">https://www.nbb.be/en/central-balance-sheet-office/consultation/statistics-annual-accounts-nbbstat</x:t>
        </x:is>
      </x:c>
      <x:c r="K207" s="15" t="inlineStr">
        <x:is>
          <x:t xml:space="preserve">Repères génériques. À adapter selon taille/maturité; remplacez par médianes/quartiles sectoriels si disponibles.</x:t>
        </x:is>
      </x:c>
    </x:row>
    <x:row r="208">
      <x:c r="A208" s="17" t="inlineStr">
        <x:is>
          <x:t xml:space="preserve">Belgique|SaaS|GEARING</x:t>
        </x:is>
      </x:c>
      <x:c r="B208" s="17" t="inlineStr">
        <x:is>
          <x:t xml:space="preserve">Belgique</x:t>
        </x:is>
      </x:c>
      <x:c r="C208" s="17" t="inlineStr">
        <x:is>
          <x:t xml:space="preserve">SaaS</x:t>
        </x:is>
      </x:c>
      <x:c r="D208" s="17" t="inlineStr">
        <x:is>
          <x:t xml:space="preserve">GEARING</x:t>
        </x:is>
      </x:c>
      <x:c r="E208" s="17" t="inlineStr">
        <x:is>
          <x:t xml:space="preserve">Gearing (Dette nette/CP)</x:t>
        </x:is>
      </x:c>
      <x:c r="F208" s="20" t="n">
        <x:v>0</x:v>
      </x:c>
      <x:c r="G208" s="20" t="n">
        <x:v>0.6</x:v>
      </x:c>
      <x:c r="H208" s="17" t="inlineStr">
        <x:is>
          <x:t xml:space="preserve">x</x:t>
        </x:is>
      </x:c>
      <x:c r="I208" s="17" t="inlineStr">
        <x:is>
          <x:t xml:space="preserve">LOW_GOOD</x:t>
        </x:is>
      </x:c>
      <x:c r="J208" s="15" t="inlineStr">
        <x:is>
          <x:t xml:space="preserve">https://www.nbb.be/en/central-balance-sheet-office/consultation/statistics-annual-accounts-nbbstat</x:t>
        </x:is>
      </x:c>
      <x:c r="K208" s="15" t="inlineStr">
        <x:is>
          <x:t xml:space="preserve">Repères génériques. À adapter selon taille/maturité; remplacez par médianes/quartiles sectoriels si disponibles.</x:t>
        </x:is>
      </x:c>
    </x:row>
    <x:row r="209">
      <x:c r="A209" s="17" t="inlineStr">
        <x:is>
          <x:t xml:space="preserve">Belgique|SaaS|CURR</x:t>
        </x:is>
      </x:c>
      <x:c r="B209" s="17" t="inlineStr">
        <x:is>
          <x:t xml:space="preserve">Belgique</x:t>
        </x:is>
      </x:c>
      <x:c r="C209" s="17" t="inlineStr">
        <x:is>
          <x:t xml:space="preserve">SaaS</x:t>
        </x:is>
      </x:c>
      <x:c r="D209" s="17" t="inlineStr">
        <x:is>
          <x:t xml:space="preserve">CURR</x:t>
        </x:is>
      </x:c>
      <x:c r="E209" s="17" t="inlineStr">
        <x:is>
          <x:t xml:space="preserve">Current ratio</x:t>
        </x:is>
      </x:c>
      <x:c r="F209" s="20" t="n">
        <x:v>1.5</x:v>
      </x:c>
      <x:c r="G209" s="20" t="n">
        <x:v>3.5</x:v>
      </x:c>
      <x:c r="H209" s="17" t="inlineStr">
        <x:is>
          <x:t xml:space="preserve">x</x:t>
        </x:is>
      </x:c>
      <x:c r="I209" s="17" t="inlineStr">
        <x:is>
          <x:t xml:space="preserve">RANGE</x:t>
        </x:is>
      </x:c>
      <x:c r="J209" s="15" t="inlineStr">
        <x:is>
          <x:t xml:space="preserve">https://www.nbb.be/en/central-balance-sheet-office/consultation/statistics-annual-accounts-nbbstat</x:t>
        </x:is>
      </x:c>
      <x:c r="K209" s="15" t="inlineStr">
        <x:is>
          <x:t xml:space="preserve">Repères génériques. À adapter selon taille/maturité; remplacez par médianes/quartiles sectoriels si disponibles.</x:t>
        </x:is>
      </x:c>
    </x:row>
    <x:row r="210">
      <x:c r="A210" s="17" t="inlineStr">
        <x:is>
          <x:t xml:space="preserve">Belgique|SaaS|QUICK</x:t>
        </x:is>
      </x:c>
      <x:c r="B210" s="17" t="inlineStr">
        <x:is>
          <x:t xml:space="preserve">Belgique</x:t>
        </x:is>
      </x:c>
      <x:c r="C210" s="17" t="inlineStr">
        <x:is>
          <x:t xml:space="preserve">SaaS</x:t>
        </x:is>
      </x:c>
      <x:c r="D210" s="17" t="inlineStr">
        <x:is>
          <x:t xml:space="preserve">QUICK</x:t>
        </x:is>
      </x:c>
      <x:c r="E210" s="17" t="inlineStr">
        <x:is>
          <x:t xml:space="preserve">Quick ratio</x:t>
        </x:is>
      </x:c>
      <x:c r="F210" s="20" t="n">
        <x:v>1.3</x:v>
      </x:c>
      <x:c r="G210" s="20" t="n">
        <x:v>3</x:v>
      </x:c>
      <x:c r="H210" s="17" t="inlineStr">
        <x:is>
          <x:t xml:space="preserve">x</x:t>
        </x:is>
      </x:c>
      <x:c r="I210" s="17" t="inlineStr">
        <x:is>
          <x:t xml:space="preserve">RANGE</x:t>
        </x:is>
      </x:c>
      <x:c r="J210" s="15" t="inlineStr">
        <x:is>
          <x:t xml:space="preserve">https://www.nbb.be/en/central-balance-sheet-office/consultation/statistics-annual-accounts-nbbstat</x:t>
        </x:is>
      </x:c>
      <x:c r="K210" s="15" t="inlineStr">
        <x:is>
          <x:t xml:space="preserve">Repères génériques. À adapter selon taille/maturité; remplacez par médianes/quartiles sectoriels si disponibles.</x:t>
        </x:is>
      </x:c>
    </x:row>
    <x:row r="211">
      <x:c r="A211" s="17" t="inlineStr">
        <x:is>
          <x:t xml:space="preserve">Belgique|SaaS|CASHR</x:t>
        </x:is>
      </x:c>
      <x:c r="B211" s="17" t="inlineStr">
        <x:is>
          <x:t xml:space="preserve">Belgique</x:t>
        </x:is>
      </x:c>
      <x:c r="C211" s="17" t="inlineStr">
        <x:is>
          <x:t xml:space="preserve">SaaS</x:t>
        </x:is>
      </x:c>
      <x:c r="D211" s="17" t="inlineStr">
        <x:is>
          <x:t xml:space="preserve">CASHR</x:t>
        </x:is>
      </x:c>
      <x:c r="E211" s="17" t="inlineStr">
        <x:is>
          <x:t xml:space="preserve">Cash ratio</x:t>
        </x:is>
      </x:c>
      <x:c r="F211" s="20" t="n">
        <x:v>0.3</x:v>
      </x:c>
      <x:c r="G211" s="20" t="n">
        <x:v>1.5</x:v>
      </x:c>
      <x:c r="H211" s="17" t="inlineStr">
        <x:is>
          <x:t xml:space="preserve">x</x:t>
        </x:is>
      </x:c>
      <x:c r="I211" s="17" t="inlineStr">
        <x:is>
          <x:t xml:space="preserve">RANGE</x:t>
        </x:is>
      </x:c>
      <x:c r="J211" s="15" t="inlineStr">
        <x:is>
          <x:t xml:space="preserve">https://www.nbb.be/en/central-balance-sheet-office/consultation/statistics-annual-accounts-nbbstat</x:t>
        </x:is>
      </x:c>
      <x:c r="K211" s="15" t="inlineStr">
        <x:is>
          <x:t xml:space="preserve">Repères génériques. À adapter selon taille/maturité; remplacez par médianes/quartiles sectoriels si disponibles.</x:t>
        </x:is>
      </x:c>
    </x:row>
    <x:row r="212">
      <x:c r="A212" s="17" t="inlineStr">
        <x:is>
          <x:t xml:space="preserve">Belgique|SaaS|ND_EBITDA</x:t>
        </x:is>
      </x:c>
      <x:c r="B212" s="17" t="inlineStr">
        <x:is>
          <x:t xml:space="preserve">Belgique</x:t>
        </x:is>
      </x:c>
      <x:c r="C212" s="17" t="inlineStr">
        <x:is>
          <x:t xml:space="preserve">SaaS</x:t>
        </x:is>
      </x:c>
      <x:c r="D212" s="17" t="inlineStr">
        <x:is>
          <x:t xml:space="preserve">ND_EBITDA</x:t>
        </x:is>
      </x:c>
      <x:c r="E212" s="17" t="inlineStr">
        <x:is>
          <x:t xml:space="preserve">Dette nette / EBITDA</x:t>
        </x:is>
      </x:c>
      <x:c r="F212" s="20" t="n">
        <x:v>0</x:v>
      </x:c>
      <x:c r="G212" s="20" t="n">
        <x:v>2.5</x:v>
      </x:c>
      <x:c r="H212" s="17" t="inlineStr">
        <x:is>
          <x:t xml:space="preserve">x</x:t>
        </x:is>
      </x:c>
      <x:c r="I212" s="17" t="inlineStr">
        <x:is>
          <x:t xml:space="preserve">LOW_GOOD</x:t>
        </x:is>
      </x:c>
      <x:c r="J212" s="15" t="inlineStr">
        <x:is>
          <x:t xml:space="preserve">https://www.nbb.be/en/central-balance-sheet-office/consultation/statistics-annual-accounts-nbbstat</x:t>
        </x:is>
      </x:c>
      <x:c r="K212" s="15" t="inlineStr">
        <x:is>
          <x:t xml:space="preserve">Repères génériques. À adapter selon taille/maturité; remplacez par médianes/quartiles sectoriels si disponibles.</x:t>
        </x:is>
      </x:c>
    </x:row>
    <x:row r="213">
      <x:c r="A213" s="17" t="inlineStr">
        <x:is>
          <x:t xml:space="preserve">Belgique|SaaS|D_E</x:t>
        </x:is>
      </x:c>
      <x:c r="B213" s="17" t="inlineStr">
        <x:is>
          <x:t xml:space="preserve">Belgique</x:t>
        </x:is>
      </x:c>
      <x:c r="C213" s="17" t="inlineStr">
        <x:is>
          <x:t xml:space="preserve">SaaS</x:t>
        </x:is>
      </x:c>
      <x:c r="D213" s="17" t="inlineStr">
        <x:is>
          <x:t xml:space="preserve">D_E</x:t>
        </x:is>
      </x:c>
      <x:c r="E213" s="17" t="inlineStr">
        <x:is>
          <x:t xml:space="preserve">Dette / CP</x:t>
        </x:is>
      </x:c>
      <x:c r="F213" s="20" t="n">
        <x:v>0</x:v>
      </x:c>
      <x:c r="G213" s="20" t="n">
        <x:v>1</x:v>
      </x:c>
      <x:c r="H213" s="17" t="inlineStr">
        <x:is>
          <x:t xml:space="preserve">x</x:t>
        </x:is>
      </x:c>
      <x:c r="I213" s="17" t="inlineStr">
        <x:is>
          <x:t xml:space="preserve">LOW_GOOD</x:t>
        </x:is>
      </x:c>
      <x:c r="J213" s="15" t="inlineStr">
        <x:is>
          <x:t xml:space="preserve">https://www.nbb.be/en/central-balance-sheet-office/consultation/statistics-annual-accounts-nbbstat</x:t>
        </x:is>
      </x:c>
      <x:c r="K213" s="15" t="inlineStr">
        <x:is>
          <x:t xml:space="preserve">Repères génériques. À adapter selon taille/maturité; remplacez par médianes/quartiles sectoriels si disponibles.</x:t>
        </x:is>
      </x:c>
    </x:row>
    <x:row r="214">
      <x:c r="A214" s="17" t="inlineStr">
        <x:is>
          <x:t xml:space="preserve">Belgique|SaaS|ICR</x:t>
        </x:is>
      </x:c>
      <x:c r="B214" s="17" t="inlineStr">
        <x:is>
          <x:t xml:space="preserve">Belgique</x:t>
        </x:is>
      </x:c>
      <x:c r="C214" s="17" t="inlineStr">
        <x:is>
          <x:t xml:space="preserve">SaaS</x:t>
        </x:is>
      </x:c>
      <x:c r="D214" s="17" t="inlineStr">
        <x:is>
          <x:t xml:space="preserve">ICR</x:t>
        </x:is>
      </x:c>
      <x:c r="E214" s="17" t="inlineStr">
        <x:is>
          <x:t xml:space="preserve">Couverture intérêts (EBIT/Intérêts)</x:t>
        </x:is>
      </x:c>
      <x:c r="F214" s="20" t="n">
        <x:v>4</x:v>
      </x:c>
      <x:c r="G214" s="20" t="n">
        <x:v>20</x:v>
      </x:c>
      <x:c r="H214" s="17" t="inlineStr">
        <x:is>
          <x:t xml:space="preserve">x</x:t>
        </x:is>
      </x:c>
      <x:c r="I214" s="17" t="inlineStr">
        <x:is>
          <x:t xml:space="preserve">HIGH_GOOD</x:t>
        </x:is>
      </x:c>
      <x:c r="J214" s="15" t="inlineStr">
        <x:is>
          <x:t xml:space="preserve">https://www.nbb.be/en/central-balance-sheet-office/consultation/statistics-annual-accounts-nbbstat</x:t>
        </x:is>
      </x:c>
      <x:c r="K214" s="15" t="inlineStr">
        <x:is>
          <x:t xml:space="preserve">Repères génériques. À adapter selon taille/maturité; remplacez par médianes/quartiles sectoriels si disponibles.</x:t>
        </x:is>
      </x:c>
    </x:row>
    <x:row r="215">
      <x:c r="A215" s="17" t="inlineStr">
        <x:is>
          <x:t xml:space="preserve">Belgique|SaaS|DSCR</x:t>
        </x:is>
      </x:c>
      <x:c r="B215" s="17" t="inlineStr">
        <x:is>
          <x:t xml:space="preserve">Belgique</x:t>
        </x:is>
      </x:c>
      <x:c r="C215" s="17" t="inlineStr">
        <x:is>
          <x:t xml:space="preserve">SaaS</x:t>
        </x:is>
      </x:c>
      <x:c r="D215" s="17" t="inlineStr">
        <x:is>
          <x:t xml:space="preserve">DSCR</x:t>
        </x:is>
      </x:c>
      <x:c r="E215" s="17" t="inlineStr">
        <x:is>
          <x:t xml:space="preserve">DSCR</x:t>
        </x:is>
      </x:c>
      <x:c r="F215" s="20" t="n">
        <x:v>1.3</x:v>
      </x:c>
      <x:c r="G215" s="20" t="n">
        <x:v>4</x:v>
      </x:c>
      <x:c r="H215" s="17" t="inlineStr">
        <x:is>
          <x:t xml:space="preserve">x</x:t>
        </x:is>
      </x:c>
      <x:c r="I215" s="17" t="inlineStr">
        <x:is>
          <x:t xml:space="preserve">HIGH_GOOD</x:t>
        </x:is>
      </x:c>
      <x:c r="J215" s="15" t="inlineStr">
        <x:is>
          <x:t xml:space="preserve">https://www.nbb.be/en/central-balance-sheet-office/consultation/statistics-annual-accounts-nbbstat</x:t>
        </x:is>
      </x:c>
      <x:c r="K215" s="15" t="inlineStr">
        <x:is>
          <x:t xml:space="preserve">Repères génériques. À adapter selon taille/maturité; remplacez par médianes/quartiles sectoriels si disponibles.</x:t>
        </x:is>
      </x:c>
    </x:row>
    <x:row r="216">
      <x:c r="A216" s="17" t="inlineStr">
        <x:is>
          <x:t xml:space="preserve">Belgique|SaaS|CFO_NI</x:t>
        </x:is>
      </x:c>
      <x:c r="B216" s="17" t="inlineStr">
        <x:is>
          <x:t xml:space="preserve">Belgique</x:t>
        </x:is>
      </x:c>
      <x:c r="C216" s="17" t="inlineStr">
        <x:is>
          <x:t xml:space="preserve">SaaS</x:t>
        </x:is>
      </x:c>
      <x:c r="D216" s="17" t="inlineStr">
        <x:is>
          <x:t xml:space="preserve">CFO_NI</x:t>
        </x:is>
      </x:c>
      <x:c r="E216" s="17" t="inlineStr">
        <x:is>
          <x:t xml:space="preserve">CFO / RN</x:t>
        </x:is>
      </x:c>
      <x:c r="F216" s="20" t="n">
        <x:v>0.8</x:v>
      </x:c>
      <x:c r="G216" s="20" t="n">
        <x:v>2</x:v>
      </x:c>
      <x:c r="H216" s="17" t="inlineStr">
        <x:is>
          <x:t xml:space="preserve">x</x:t>
        </x:is>
      </x:c>
      <x:c r="I216" s="17" t="inlineStr">
        <x:is>
          <x:t xml:space="preserve">HIGH_GOOD</x:t>
        </x:is>
      </x:c>
      <x:c r="J216" s="15" t="inlineStr">
        <x:is>
          <x:t xml:space="preserve">https://www.nbb.be/en/central-balance-sheet-office/consultation/statistics-annual-accounts-nbbstat</x:t>
        </x:is>
      </x:c>
      <x:c r="K216" s="15" t="inlineStr">
        <x:is>
          <x:t xml:space="preserve">Repères génériques. À adapter selon taille/maturité; remplacez par médianes/quartiles sectoriels si disponibles.</x:t>
        </x:is>
      </x:c>
    </x:row>
    <x:row r="217">
      <x:c r="A217" s="17" t="inlineStr">
        <x:is>
          <x:t xml:space="preserve">Belgique|SaaS|ROA</x:t>
        </x:is>
      </x:c>
      <x:c r="B217" s="17" t="inlineStr">
        <x:is>
          <x:t xml:space="preserve">Belgique</x:t>
        </x:is>
      </x:c>
      <x:c r="C217" s="17" t="inlineStr">
        <x:is>
          <x:t xml:space="preserve">SaaS</x:t>
        </x:is>
      </x:c>
      <x:c r="D217" s="17" t="inlineStr">
        <x:is>
          <x:t xml:space="preserve">ROA</x:t>
        </x:is>
      </x:c>
      <x:c r="E217" s="17" t="inlineStr">
        <x:is>
          <x:t xml:space="preserve">ROA</x:t>
        </x:is>
      </x:c>
      <x:c r="F217" s="18" t="n">
        <x:v>0.02</x:v>
      </x:c>
      <x:c r="G217" s="18" t="n">
        <x:v>0.1</x:v>
      </x:c>
      <x:c r="H217" s="17" t="inlineStr">
        <x:is>
          <x:t xml:space="preserve">%</x:t>
        </x:is>
      </x:c>
      <x:c r="I217" s="17" t="inlineStr">
        <x:is>
          <x:t xml:space="preserve">HIGH_GOOD</x:t>
        </x:is>
      </x:c>
      <x:c r="J217" s="15" t="inlineStr">
        <x:is>
          <x:t xml:space="preserve">https://www.nbb.be/en/central-balance-sheet-office/consultation/statistics-annual-accounts-nbbstat</x:t>
        </x:is>
      </x:c>
      <x:c r="K217" s="15" t="inlineStr">
        <x:is>
          <x:t xml:space="preserve">Repères génériques. À adapter selon taille/maturité; remplacez par médianes/quartiles sectoriels si disponibles.</x:t>
        </x:is>
      </x:c>
    </x:row>
    <x:row r="218">
      <x:c r="A218" s="17" t="inlineStr">
        <x:is>
          <x:t xml:space="preserve">Belgique|SaaS|ROE</x:t>
        </x:is>
      </x:c>
      <x:c r="B218" s="17" t="inlineStr">
        <x:is>
          <x:t xml:space="preserve">Belgique</x:t>
        </x:is>
      </x:c>
      <x:c r="C218" s="17" t="inlineStr">
        <x:is>
          <x:t xml:space="preserve">SaaS</x:t>
        </x:is>
      </x:c>
      <x:c r="D218" s="17" t="inlineStr">
        <x:is>
          <x:t xml:space="preserve">ROE</x:t>
        </x:is>
      </x:c>
      <x:c r="E218" s="17" t="inlineStr">
        <x:is>
          <x:t xml:space="preserve">ROE</x:t>
        </x:is>
      </x:c>
      <x:c r="F218" s="18" t="n">
        <x:v>0.08</x:v>
      </x:c>
      <x:c r="G218" s="18" t="n">
        <x:v>0.25</x:v>
      </x:c>
      <x:c r="H218" s="17" t="inlineStr">
        <x:is>
          <x:t xml:space="preserve">%</x:t>
        </x:is>
      </x:c>
      <x:c r="I218" s="17" t="inlineStr">
        <x:is>
          <x:t xml:space="preserve">HIGH_GOOD</x:t>
        </x:is>
      </x:c>
      <x:c r="J218" s="15" t="inlineStr">
        <x:is>
          <x:t xml:space="preserve">https://www.nbb.be/en/central-balance-sheet-office/consultation/statistics-annual-accounts-nbbstat</x:t>
        </x:is>
      </x:c>
      <x:c r="K218" s="15" t="inlineStr">
        <x:is>
          <x:t xml:space="preserve">Repères génériques. À adapter selon taille/maturité; remplacez par médianes/quartiles sectoriels si disponibles.</x:t>
        </x:is>
      </x:c>
    </x:row>
    <x:row r="219">
      <x:c r="A219" s="17" t="inlineStr">
        <x:is>
          <x:t xml:space="preserve">Belgique|SaaS|ROCE</x:t>
        </x:is>
      </x:c>
      <x:c r="B219" s="17" t="inlineStr">
        <x:is>
          <x:t xml:space="preserve">Belgique</x:t>
        </x:is>
      </x:c>
      <x:c r="C219" s="17" t="inlineStr">
        <x:is>
          <x:t xml:space="preserve">SaaS</x:t>
        </x:is>
      </x:c>
      <x:c r="D219" s="17" t="inlineStr">
        <x:is>
          <x:t xml:space="preserve">ROCE</x:t>
        </x:is>
      </x:c>
      <x:c r="E219" s="17" t="inlineStr">
        <x:is>
          <x:t xml:space="preserve">ROCE</x:t>
        </x:is>
      </x:c>
      <x:c r="F219" s="18" t="n">
        <x:v>0.08</x:v>
      </x:c>
      <x:c r="G219" s="18" t="n">
        <x:v>0.25</x:v>
      </x:c>
      <x:c r="H219" s="17" t="inlineStr">
        <x:is>
          <x:t xml:space="preserve">%</x:t>
        </x:is>
      </x:c>
      <x:c r="I219" s="17" t="inlineStr">
        <x:is>
          <x:t xml:space="preserve">HIGH_GOOD</x:t>
        </x:is>
      </x:c>
      <x:c r="J219" s="15" t="inlineStr">
        <x:is>
          <x:t xml:space="preserve">https://www.nbb.be/en/central-balance-sheet-office/consultation/statistics-annual-accounts-nbbstat</x:t>
        </x:is>
      </x:c>
      <x:c r="K219" s="15" t="inlineStr">
        <x:is>
          <x:t xml:space="preserve">Repères génériques. À adapter selon taille/maturité; remplacez par médianes/quartiles sectoriels si disponibles.</x:t>
        </x:is>
      </x:c>
    </x:row>
    <x:row r="220">
      <x:c r="A220" s="17" t="inlineStr">
        <x:is>
          <x:t xml:space="preserve">Belgique|Construction|M_GROSS</x:t>
        </x:is>
      </x:c>
      <x:c r="B220" s="17" t="inlineStr">
        <x:is>
          <x:t xml:space="preserve">Belgique</x:t>
        </x:is>
      </x:c>
      <x:c r="C220" s="17" t="inlineStr">
        <x:is>
          <x:t xml:space="preserve">Construction</x:t>
        </x:is>
      </x:c>
      <x:c r="D220" s="17" t="inlineStr">
        <x:is>
          <x:t xml:space="preserve">M_GROSS</x:t>
        </x:is>
      </x:c>
      <x:c r="E220" s="17" t="inlineStr">
        <x:is>
          <x:t xml:space="preserve">Marge brute</x:t>
        </x:is>
      </x:c>
      <x:c r="F220" s="18" t="n">
        <x:v>0.1</x:v>
      </x:c>
      <x:c r="G220" s="18" t="n">
        <x:v>0.25</x:v>
      </x:c>
      <x:c r="H220" s="17" t="inlineStr">
        <x:is>
          <x:t xml:space="preserve">%</x:t>
        </x:is>
      </x:c>
      <x:c r="I220" s="17" t="inlineStr">
        <x:is>
          <x:t xml:space="preserve">HIGH_GOOD</x:t>
        </x:is>
      </x:c>
      <x:c r="J220" s="15" t="inlineStr">
        <x:is>
          <x:t xml:space="preserve">https://www.nbb.be/en/central-balance-sheet-office/consultation/statistics-annual-accounts-nbbstat</x:t>
        </x:is>
      </x:c>
      <x:c r="K220" s="15" t="inlineStr">
        <x:is>
          <x:t xml:space="preserve">Repères génériques. À adapter selon taille/maturité; remplacez par médianes/quartiles sectoriels si disponibles.</x:t>
        </x:is>
      </x:c>
    </x:row>
    <x:row r="221">
      <x:c r="A221" s="17" t="inlineStr">
        <x:is>
          <x:t xml:space="preserve">Belgique|Construction|M_EBITDA</x:t>
        </x:is>
      </x:c>
      <x:c r="B221" s="17" t="inlineStr">
        <x:is>
          <x:t xml:space="preserve">Belgique</x:t>
        </x:is>
      </x:c>
      <x:c r="C221" s="17" t="inlineStr">
        <x:is>
          <x:t xml:space="preserve">Construction</x:t>
        </x:is>
      </x:c>
      <x:c r="D221" s="17" t="inlineStr">
        <x:is>
          <x:t xml:space="preserve">M_EBITDA</x:t>
        </x:is>
      </x:c>
      <x:c r="E221" s="17" t="inlineStr">
        <x:is>
          <x:t xml:space="preserve">Marge EBITDA</x:t>
        </x:is>
      </x:c>
      <x:c r="F221" s="18" t="n">
        <x:v>0.03</x:v>
      </x:c>
      <x:c r="G221" s="18" t="n">
        <x:v>0.1</x:v>
      </x:c>
      <x:c r="H221" s="17" t="inlineStr">
        <x:is>
          <x:t xml:space="preserve">%</x:t>
        </x:is>
      </x:c>
      <x:c r="I221" s="17" t="inlineStr">
        <x:is>
          <x:t xml:space="preserve">HIGH_GOOD</x:t>
        </x:is>
      </x:c>
      <x:c r="J221" s="15" t="inlineStr">
        <x:is>
          <x:t xml:space="preserve">https://www.nbb.be/en/central-balance-sheet-office/consultation/statistics-annual-accounts-nbbstat</x:t>
        </x:is>
      </x:c>
      <x:c r="K221" s="15" t="inlineStr">
        <x:is>
          <x:t xml:space="preserve">Repères génériques. À adapter selon taille/maturité; remplacez par médianes/quartiles sectoriels si disponibles.</x:t>
        </x:is>
      </x:c>
    </x:row>
    <x:row r="222">
      <x:c r="A222" s="17" t="inlineStr">
        <x:is>
          <x:t xml:space="preserve">Belgique|Construction|M_EBIT</x:t>
        </x:is>
      </x:c>
      <x:c r="B222" s="17" t="inlineStr">
        <x:is>
          <x:t xml:space="preserve">Belgique</x:t>
        </x:is>
      </x:c>
      <x:c r="C222" s="17" t="inlineStr">
        <x:is>
          <x:t xml:space="preserve">Construction</x:t>
        </x:is>
      </x:c>
      <x:c r="D222" s="17" t="inlineStr">
        <x:is>
          <x:t xml:space="preserve">M_EBIT</x:t>
        </x:is>
      </x:c>
      <x:c r="E222" s="17" t="inlineStr">
        <x:is>
          <x:t xml:space="preserve">Marge EBIT</x:t>
        </x:is>
      </x:c>
      <x:c r="F222" s="18" t="n">
        <x:v>0.02</x:v>
      </x:c>
      <x:c r="G222" s="18" t="n">
        <x:v>0.07000000000000001</x:v>
      </x:c>
      <x:c r="H222" s="17" t="inlineStr">
        <x:is>
          <x:t xml:space="preserve">%</x:t>
        </x:is>
      </x:c>
      <x:c r="I222" s="17" t="inlineStr">
        <x:is>
          <x:t xml:space="preserve">HIGH_GOOD</x:t>
        </x:is>
      </x:c>
      <x:c r="J222" s="15" t="inlineStr">
        <x:is>
          <x:t xml:space="preserve">https://www.nbb.be/en/central-balance-sheet-office/consultation/statistics-annual-accounts-nbbstat</x:t>
        </x:is>
      </x:c>
      <x:c r="K222" s="15" t="inlineStr">
        <x:is>
          <x:t xml:space="preserve">Repères génériques. À adapter selon taille/maturité; remplacez par médianes/quartiles sectoriels si disponibles.</x:t>
        </x:is>
      </x:c>
    </x:row>
    <x:row r="223">
      <x:c r="A223" s="17" t="inlineStr">
        <x:is>
          <x:t xml:space="preserve">Belgique|Construction|M_NET</x:t>
        </x:is>
      </x:c>
      <x:c r="B223" s="17" t="inlineStr">
        <x:is>
          <x:t xml:space="preserve">Belgique</x:t>
        </x:is>
      </x:c>
      <x:c r="C223" s="17" t="inlineStr">
        <x:is>
          <x:t xml:space="preserve">Construction</x:t>
        </x:is>
      </x:c>
      <x:c r="D223" s="17" t="inlineStr">
        <x:is>
          <x:t xml:space="preserve">M_NET</x:t>
        </x:is>
      </x:c>
      <x:c r="E223" s="17" t="inlineStr">
        <x:is>
          <x:t xml:space="preserve">Marge nette</x:t>
        </x:is>
      </x:c>
      <x:c r="F223" s="18" t="n">
        <x:v>0.01</x:v>
      </x:c>
      <x:c r="G223" s="18" t="n">
        <x:v>0.04</x:v>
      </x:c>
      <x:c r="H223" s="17" t="inlineStr">
        <x:is>
          <x:t xml:space="preserve">%</x:t>
        </x:is>
      </x:c>
      <x:c r="I223" s="17" t="inlineStr">
        <x:is>
          <x:t xml:space="preserve">HIGH_GOOD</x:t>
        </x:is>
      </x:c>
      <x:c r="J223" s="15" t="inlineStr">
        <x:is>
          <x:t xml:space="preserve">https://www.nbb.be/en/central-balance-sheet-office/consultation/statistics-annual-accounts-nbbstat</x:t>
        </x:is>
      </x:c>
      <x:c r="K223" s="15" t="inlineStr">
        <x:is>
          <x:t xml:space="preserve">Repères génériques. À adapter selon taille/maturité; remplacez par médianes/quartiles sectoriels si disponibles.</x:t>
        </x:is>
      </x:c>
    </x:row>
    <x:row r="224">
      <x:c r="A224" s="17" t="inlineStr">
        <x:is>
          <x:t xml:space="preserve">Belgique|Construction|G_REV</x:t>
        </x:is>
      </x:c>
      <x:c r="B224" s="17" t="inlineStr">
        <x:is>
          <x:t xml:space="preserve">Belgique</x:t>
        </x:is>
      </x:c>
      <x:c r="C224" s="17" t="inlineStr">
        <x:is>
          <x:t xml:space="preserve">Construction</x:t>
        </x:is>
      </x:c>
      <x:c r="D224" s="17" t="inlineStr">
        <x:is>
          <x:t xml:space="preserve">G_REV</x:t>
        </x:is>
      </x:c>
      <x:c r="E224" s="17" t="inlineStr">
        <x:is>
          <x:t xml:space="preserve">Croissance CA</x:t>
        </x:is>
      </x:c>
      <x:c r="F224" s="18" t="n">
        <x:v>-0.05</x:v>
      </x:c>
      <x:c r="G224" s="18" t="n">
        <x:v>0.15</x:v>
      </x:c>
      <x:c r="H224" s="17" t="inlineStr">
        <x:is>
          <x:t xml:space="preserve">%</x:t>
        </x:is>
      </x:c>
      <x:c r="I224" s="17" t="inlineStr">
        <x:is>
          <x:t xml:space="preserve">HIGH_GOOD</x:t>
        </x:is>
      </x:c>
      <x:c r="J224" s="15" t="inlineStr">
        <x:is>
          <x:t xml:space="preserve">https://www.nbb.be/en/central-balance-sheet-office/consultation/statistics-annual-accounts-nbbstat</x:t>
        </x:is>
      </x:c>
      <x:c r="K224" s="15" t="inlineStr">
        <x:is>
          <x:t xml:space="preserve">Repères génériques. À adapter selon taille/maturité; remplacez par médianes/quartiles sectoriels si disponibles.</x:t>
        </x:is>
      </x:c>
    </x:row>
    <x:row r="225">
      <x:c r="A225" s="17" t="inlineStr">
        <x:is>
          <x:t xml:space="preserve">Belgique|Construction|G_NI</x:t>
        </x:is>
      </x:c>
      <x:c r="B225" s="17" t="inlineStr">
        <x:is>
          <x:t xml:space="preserve">Belgique</x:t>
        </x:is>
      </x:c>
      <x:c r="C225" s="17" t="inlineStr">
        <x:is>
          <x:t xml:space="preserve">Construction</x:t>
        </x:is>
      </x:c>
      <x:c r="D225" s="17" t="inlineStr">
        <x:is>
          <x:t xml:space="preserve">G_NI</x:t>
        </x:is>
      </x:c>
      <x:c r="E225" s="17" t="inlineStr">
        <x:is>
          <x:t xml:space="preserve">Croissance RN</x:t>
        </x:is>
      </x:c>
      <x:c r="F225" s="18" t="n">
        <x:v>-0.15</x:v>
      </x:c>
      <x:c r="G225" s="18" t="n">
        <x:v>0.15</x:v>
      </x:c>
      <x:c r="H225" s="17" t="inlineStr">
        <x:is>
          <x:t xml:space="preserve">%</x:t>
        </x:is>
      </x:c>
      <x:c r="I225" s="17" t="inlineStr">
        <x:is>
          <x:t xml:space="preserve">HIGH_GOOD</x:t>
        </x:is>
      </x:c>
      <x:c r="J225" s="15" t="inlineStr">
        <x:is>
          <x:t xml:space="preserve">https://www.nbb.be/en/central-balance-sheet-office/consultation/statistics-annual-accounts-nbbstat</x:t>
        </x:is>
      </x:c>
      <x:c r="K225" s="15" t="inlineStr">
        <x:is>
          <x:t xml:space="preserve">Repères génériques. À adapter selon taille/maturité; remplacez par médianes/quartiles sectoriels si disponibles.</x:t>
        </x:is>
      </x:c>
    </x:row>
    <x:row r="226">
      <x:c r="A226" s="17" t="inlineStr">
        <x:is>
          <x:t xml:space="preserve">Belgique|Construction|D_INV</x:t>
        </x:is>
      </x:c>
      <x:c r="B226" s="17" t="inlineStr">
        <x:is>
          <x:t xml:space="preserve">Belgique</x:t>
        </x:is>
      </x:c>
      <x:c r="C226" s="17" t="inlineStr">
        <x:is>
          <x:t xml:space="preserve">Construction</x:t>
        </x:is>
      </x:c>
      <x:c r="D226" s="17" t="inlineStr">
        <x:is>
          <x:t xml:space="preserve">D_INV</x:t>
        </x:is>
      </x:c>
      <x:c r="E226" s="17" t="inlineStr">
        <x:is>
          <x:t xml:space="preserve">Jours de stocks</x:t>
        </x:is>
      </x:c>
      <x:c r="F226" s="26" t="n">
        <x:v>5</x:v>
      </x:c>
      <x:c r="G226" s="26" t="n">
        <x:v>40</x:v>
      </x:c>
      <x:c r="H226" s="17" t="inlineStr">
        <x:is>
          <x:t xml:space="preserve">jours</x:t>
        </x:is>
      </x:c>
      <x:c r="I226" s="17" t="inlineStr">
        <x:is>
          <x:t xml:space="preserve">LOW_GOOD</x:t>
        </x:is>
      </x:c>
      <x:c r="J226" s="15" t="inlineStr">
        <x:is>
          <x:t xml:space="preserve">https://www.nbb.be/en/central-balance-sheet-office/consultation/statistics-annual-accounts-nbbstat</x:t>
        </x:is>
      </x:c>
      <x:c r="K226" s="15" t="inlineStr">
        <x:is>
          <x:t xml:space="preserve">Repères génériques. À adapter selon taille/maturité; remplacez par médianes/quartiles sectoriels si disponibles.</x:t>
        </x:is>
      </x:c>
    </x:row>
    <x:row r="227">
      <x:c r="A227" s="17" t="inlineStr">
        <x:is>
          <x:t xml:space="preserve">Belgique|Construction|DSO</x:t>
        </x:is>
      </x:c>
      <x:c r="B227" s="17" t="inlineStr">
        <x:is>
          <x:t xml:space="preserve">Belgique</x:t>
        </x:is>
      </x:c>
      <x:c r="C227" s="17" t="inlineStr">
        <x:is>
          <x:t xml:space="preserve">Construction</x:t>
        </x:is>
      </x:c>
      <x:c r="D227" s="17" t="inlineStr">
        <x:is>
          <x:t xml:space="preserve">DSO</x:t>
        </x:is>
      </x:c>
      <x:c r="E227" s="17" t="inlineStr">
        <x:is>
          <x:t xml:space="preserve">DSO (jours clients)</x:t>
        </x:is>
      </x:c>
      <x:c r="F227" s="26" t="n">
        <x:v>50</x:v>
      </x:c>
      <x:c r="G227" s="26" t="n">
        <x:v>110</x:v>
      </x:c>
      <x:c r="H227" s="17" t="inlineStr">
        <x:is>
          <x:t xml:space="preserve">jours</x:t>
        </x:is>
      </x:c>
      <x:c r="I227" s="17" t="inlineStr">
        <x:is>
          <x:t xml:space="preserve">LOW_GOOD</x:t>
        </x:is>
      </x:c>
      <x:c r="J227" s="15" t="inlineStr">
        <x:is>
          <x:t xml:space="preserve">https://www.nbb.be/en/central-balance-sheet-office/consultation/statistics-annual-accounts-nbbstat</x:t>
        </x:is>
      </x:c>
      <x:c r="K227" s="15" t="inlineStr">
        <x:is>
          <x:t xml:space="preserve">Repère. Délais B2B encadrés (max ~60 jours sauf accords).</x:t>
        </x:is>
      </x:c>
    </x:row>
    <x:row r="228">
      <x:c r="A228" s="17" t="inlineStr">
        <x:is>
          <x:t xml:space="preserve">Belgique|Construction|DPO</x:t>
        </x:is>
      </x:c>
      <x:c r="B228" s="17" t="inlineStr">
        <x:is>
          <x:t xml:space="preserve">Belgique</x:t>
        </x:is>
      </x:c>
      <x:c r="C228" s="17" t="inlineStr">
        <x:is>
          <x:t xml:space="preserve">Construction</x:t>
        </x:is>
      </x:c>
      <x:c r="D228" s="17" t="inlineStr">
        <x:is>
          <x:t xml:space="preserve">DPO</x:t>
        </x:is>
      </x:c>
      <x:c r="E228" s="17" t="inlineStr">
        <x:is>
          <x:t xml:space="preserve">DPO (jours fournisseurs)</x:t>
        </x:is>
      </x:c>
      <x:c r="F228" s="26" t="n">
        <x:v>45</x:v>
      </x:c>
      <x:c r="G228" s="26" t="n">
        <x:v>120</x:v>
      </x:c>
      <x:c r="H228" s="17" t="inlineStr">
        <x:is>
          <x:t xml:space="preserve">jours</x:t>
        </x:is>
      </x:c>
      <x:c r="I228" s="17" t="inlineStr">
        <x:is>
          <x:t xml:space="preserve">RANGE</x:t>
        </x:is>
      </x:c>
      <x:c r="J228" s="15" t="inlineStr">
        <x:is>
          <x:t xml:space="preserve">https://www.nbb.be/en/central-balance-sheet-office/consultation/statistics-annual-accounts-nbbstat</x:t>
        </x:is>
      </x:c>
      <x:c r="K228" s="15" t="inlineStr">
        <x:is>
          <x:t xml:space="preserve">Repère. Délais B2B encadrés (max ~60 jours sauf accords).</x:t>
        </x:is>
      </x:c>
    </x:row>
    <x:row r="229">
      <x:c r="A229" s="17" t="inlineStr">
        <x:is>
          <x:t xml:space="preserve">Belgique|Construction|CCC</x:t>
        </x:is>
      </x:c>
      <x:c r="B229" s="17" t="inlineStr">
        <x:is>
          <x:t xml:space="preserve">Belgique</x:t>
        </x:is>
      </x:c>
      <x:c r="C229" s="17" t="inlineStr">
        <x:is>
          <x:t xml:space="preserve">Construction</x:t>
        </x:is>
      </x:c>
      <x:c r="D229" s="17" t="inlineStr">
        <x:is>
          <x:t xml:space="preserve">CCC</x:t>
        </x:is>
      </x:c>
      <x:c r="E229" s="17" t="inlineStr">
        <x:is>
          <x:t xml:space="preserve">Cycle de conversion cash (jours)</x:t>
        </x:is>
      </x:c>
      <x:c r="F229" s="26" t="n">
        <x:v>0</x:v>
      </x:c>
      <x:c r="G229" s="26" t="n">
        <x:v>90</x:v>
      </x:c>
      <x:c r="H229" s="17" t="inlineStr">
        <x:is>
          <x:t xml:space="preserve">jours</x:t>
        </x:is>
      </x:c>
      <x:c r="I229" s="17" t="inlineStr">
        <x:is>
          <x:t xml:space="preserve">LOW_GOOD</x:t>
        </x:is>
      </x:c>
      <x:c r="J229" s="15" t="inlineStr">
        <x:is>
          <x:t xml:space="preserve">https://www.nbb.be/en/central-balance-sheet-office/consultation/statistics-annual-accounts-nbbstat</x:t>
        </x:is>
      </x:c>
      <x:c r="K229" s="15" t="inlineStr">
        <x:is>
          <x:t xml:space="preserve">Repères génériques. À adapter selon taille/maturité; remplacez par médianes/quartiles sectoriels si disponibles.</x:t>
        </x:is>
      </x:c>
    </x:row>
    <x:row r="230">
      <x:c r="A230" s="17" t="inlineStr">
        <x:is>
          <x:t xml:space="preserve">Belgique|Construction|BFR_REV</x:t>
        </x:is>
      </x:c>
      <x:c r="B230" s="17" t="inlineStr">
        <x:is>
          <x:t xml:space="preserve">Belgique</x:t>
        </x:is>
      </x:c>
      <x:c r="C230" s="17" t="inlineStr">
        <x:is>
          <x:t xml:space="preserve">Construction</x:t>
        </x:is>
      </x:c>
      <x:c r="D230" s="17" t="inlineStr">
        <x:is>
          <x:t xml:space="preserve">BFR_REV</x:t>
        </x:is>
      </x:c>
      <x:c r="E230" s="17" t="inlineStr">
        <x:is>
          <x:t xml:space="preserve">BFR / CA</x:t>
        </x:is>
      </x:c>
      <x:c r="F230" s="18" t="n">
        <x:v>0.05</x:v>
      </x:c>
      <x:c r="G230" s="18" t="n">
        <x:v>0.3</x:v>
      </x:c>
      <x:c r="H230" s="17" t="inlineStr">
        <x:is>
          <x:t xml:space="preserve">%</x:t>
        </x:is>
      </x:c>
      <x:c r="I230" s="17" t="inlineStr">
        <x:is>
          <x:t xml:space="preserve">RANGE</x:t>
        </x:is>
      </x:c>
      <x:c r="J230" s="15" t="inlineStr">
        <x:is>
          <x:t xml:space="preserve">https://www.nbb.be/en/central-balance-sheet-office/consultation/statistics-annual-accounts-nbbstat</x:t>
        </x:is>
      </x:c>
      <x:c r="K230" s="15" t="inlineStr">
        <x:is>
          <x:t xml:space="preserve">Repères génériques. À adapter selon taille/maturité; remplacez par médianes/quartiles sectoriels si disponibles.</x:t>
        </x:is>
      </x:c>
    </x:row>
    <x:row r="231">
      <x:c r="A231" s="17" t="inlineStr">
        <x:is>
          <x:t xml:space="preserve">Belgique|Construction|EQ_RATIO</x:t>
        </x:is>
      </x:c>
      <x:c r="B231" s="17" t="inlineStr">
        <x:is>
          <x:t xml:space="preserve">Belgique</x:t>
        </x:is>
      </x:c>
      <x:c r="C231" s="17" t="inlineStr">
        <x:is>
          <x:t xml:space="preserve">Construction</x:t>
        </x:is>
      </x:c>
      <x:c r="D231" s="17" t="inlineStr">
        <x:is>
          <x:t xml:space="preserve">EQ_RATIO</x:t>
        </x:is>
      </x:c>
      <x:c r="E231" s="17" t="inlineStr">
        <x:is>
          <x:t xml:space="preserve">Autonomie financière (CP/Total bilan)</x:t>
        </x:is>
      </x:c>
      <x:c r="F231" s="18" t="n">
        <x:v>0.25</x:v>
      </x:c>
      <x:c r="G231" s="18" t="n">
        <x:v>0.55</x:v>
      </x:c>
      <x:c r="H231" s="17" t="inlineStr">
        <x:is>
          <x:t xml:space="preserve">%</x:t>
        </x:is>
      </x:c>
      <x:c r="I231" s="17" t="inlineStr">
        <x:is>
          <x:t xml:space="preserve">HIGH_GOOD</x:t>
        </x:is>
      </x:c>
      <x:c r="J231" s="15" t="inlineStr">
        <x:is>
          <x:t xml:space="preserve">https://www.nbb.be/en/central-balance-sheet-office/consultation/statistics-annual-accounts-nbbstat</x:t>
        </x:is>
      </x:c>
      <x:c r="K231" s="15" t="inlineStr">
        <x:is>
          <x:t xml:space="preserve">Repères génériques. À adapter selon taille/maturité; remplacez par médianes/quartiles sectoriels si disponibles.</x:t>
        </x:is>
      </x:c>
    </x:row>
    <x:row r="232">
      <x:c r="A232" s="17" t="inlineStr">
        <x:is>
          <x:t xml:space="preserve">Belgique|Construction|GEARING</x:t>
        </x:is>
      </x:c>
      <x:c r="B232" s="17" t="inlineStr">
        <x:is>
          <x:t xml:space="preserve">Belgique</x:t>
        </x:is>
      </x:c>
      <x:c r="C232" s="17" t="inlineStr">
        <x:is>
          <x:t xml:space="preserve">Construction</x:t>
        </x:is>
      </x:c>
      <x:c r="D232" s="17" t="inlineStr">
        <x:is>
          <x:t xml:space="preserve">GEARING</x:t>
        </x:is>
      </x:c>
      <x:c r="E232" s="17" t="inlineStr">
        <x:is>
          <x:t xml:space="preserve">Gearing (Dette nette/CP)</x:t>
        </x:is>
      </x:c>
      <x:c r="F232" s="20" t="n">
        <x:v>0</x:v>
      </x:c>
      <x:c r="G232" s="20" t="n">
        <x:v>1.2</x:v>
      </x:c>
      <x:c r="H232" s="17" t="inlineStr">
        <x:is>
          <x:t xml:space="preserve">x</x:t>
        </x:is>
      </x:c>
      <x:c r="I232" s="17" t="inlineStr">
        <x:is>
          <x:t xml:space="preserve">LOW_GOOD</x:t>
        </x:is>
      </x:c>
      <x:c r="J232" s="15" t="inlineStr">
        <x:is>
          <x:t xml:space="preserve">https://www.nbb.be/en/central-balance-sheet-office/consultation/statistics-annual-accounts-nbbstat</x:t>
        </x:is>
      </x:c>
      <x:c r="K232" s="15" t="inlineStr">
        <x:is>
          <x:t xml:space="preserve">Repères génériques. À adapter selon taille/maturité; remplacez par médianes/quartiles sectoriels si disponibles.</x:t>
        </x:is>
      </x:c>
    </x:row>
    <x:row r="233">
      <x:c r="A233" s="17" t="inlineStr">
        <x:is>
          <x:t xml:space="preserve">Belgique|Construction|CURR</x:t>
        </x:is>
      </x:c>
      <x:c r="B233" s="17" t="inlineStr">
        <x:is>
          <x:t xml:space="preserve">Belgique</x:t>
        </x:is>
      </x:c>
      <x:c r="C233" s="17" t="inlineStr">
        <x:is>
          <x:t xml:space="preserve">Construction</x:t>
        </x:is>
      </x:c>
      <x:c r="D233" s="17" t="inlineStr">
        <x:is>
          <x:t xml:space="preserve">CURR</x:t>
        </x:is>
      </x:c>
      <x:c r="E233" s="17" t="inlineStr">
        <x:is>
          <x:t xml:space="preserve">Current ratio</x:t>
        </x:is>
      </x:c>
      <x:c r="F233" s="20" t="n">
        <x:v>1.1</x:v>
      </x:c>
      <x:c r="G233" s="20" t="n">
        <x:v>2</x:v>
      </x:c>
      <x:c r="H233" s="17" t="inlineStr">
        <x:is>
          <x:t xml:space="preserve">x</x:t>
        </x:is>
      </x:c>
      <x:c r="I233" s="17" t="inlineStr">
        <x:is>
          <x:t xml:space="preserve">RANGE</x:t>
        </x:is>
      </x:c>
      <x:c r="J233" s="15" t="inlineStr">
        <x:is>
          <x:t xml:space="preserve">https://www.nbb.be/en/central-balance-sheet-office/consultation/statistics-annual-accounts-nbbstat</x:t>
        </x:is>
      </x:c>
      <x:c r="K233" s="15" t="inlineStr">
        <x:is>
          <x:t xml:space="preserve">Repères génériques. À adapter selon taille/maturité; remplacez par médianes/quartiles sectoriels si disponibles.</x:t>
        </x:is>
      </x:c>
    </x:row>
    <x:row r="234">
      <x:c r="A234" s="17" t="inlineStr">
        <x:is>
          <x:t xml:space="preserve">Belgique|Construction|QUICK</x:t>
        </x:is>
      </x:c>
      <x:c r="B234" s="17" t="inlineStr">
        <x:is>
          <x:t xml:space="preserve">Belgique</x:t>
        </x:is>
      </x:c>
      <x:c r="C234" s="17" t="inlineStr">
        <x:is>
          <x:t xml:space="preserve">Construction</x:t>
        </x:is>
      </x:c>
      <x:c r="D234" s="17" t="inlineStr">
        <x:is>
          <x:t xml:space="preserve">QUICK</x:t>
        </x:is>
      </x:c>
      <x:c r="E234" s="17" t="inlineStr">
        <x:is>
          <x:t xml:space="preserve">Quick ratio</x:t>
        </x:is>
      </x:c>
      <x:c r="F234" s="20" t="n">
        <x:v>0.9</x:v>
      </x:c>
      <x:c r="G234" s="20" t="n">
        <x:v>1.6</x:v>
      </x:c>
      <x:c r="H234" s="17" t="inlineStr">
        <x:is>
          <x:t xml:space="preserve">x</x:t>
        </x:is>
      </x:c>
      <x:c r="I234" s="17" t="inlineStr">
        <x:is>
          <x:t xml:space="preserve">RANGE</x:t>
        </x:is>
      </x:c>
      <x:c r="J234" s="15" t="inlineStr">
        <x:is>
          <x:t xml:space="preserve">https://www.nbb.be/en/central-balance-sheet-office/consultation/statistics-annual-accounts-nbbstat</x:t>
        </x:is>
      </x:c>
      <x:c r="K234" s="15" t="inlineStr">
        <x:is>
          <x:t xml:space="preserve">Repères génériques. À adapter selon taille/maturité; remplacez par médianes/quartiles sectoriels si disponibles.</x:t>
        </x:is>
      </x:c>
    </x:row>
    <x:row r="235">
      <x:c r="A235" s="17" t="inlineStr">
        <x:is>
          <x:t xml:space="preserve">Belgique|Construction|CASHR</x:t>
        </x:is>
      </x:c>
      <x:c r="B235" s="17" t="inlineStr">
        <x:is>
          <x:t xml:space="preserve">Belgique</x:t>
        </x:is>
      </x:c>
      <x:c r="C235" s="17" t="inlineStr">
        <x:is>
          <x:t xml:space="preserve">Construction</x:t>
        </x:is>
      </x:c>
      <x:c r="D235" s="17" t="inlineStr">
        <x:is>
          <x:t xml:space="preserve">CASHR</x:t>
        </x:is>
      </x:c>
      <x:c r="E235" s="17" t="inlineStr">
        <x:is>
          <x:t xml:space="preserve">Cash ratio</x:t>
        </x:is>
      </x:c>
      <x:c r="F235" s="20" t="n">
        <x:v>0.15</x:v>
      </x:c>
      <x:c r="G235" s="20" t="n">
        <x:v>0.7</x:v>
      </x:c>
      <x:c r="H235" s="17" t="inlineStr">
        <x:is>
          <x:t xml:space="preserve">x</x:t>
        </x:is>
      </x:c>
      <x:c r="I235" s="17" t="inlineStr">
        <x:is>
          <x:t xml:space="preserve">RANGE</x:t>
        </x:is>
      </x:c>
      <x:c r="J235" s="15" t="inlineStr">
        <x:is>
          <x:t xml:space="preserve">https://www.nbb.be/en/central-balance-sheet-office/consultation/statistics-annual-accounts-nbbstat</x:t>
        </x:is>
      </x:c>
      <x:c r="K235" s="15" t="inlineStr">
        <x:is>
          <x:t xml:space="preserve">Repères génériques. À adapter selon taille/maturité; remplacez par médianes/quartiles sectoriels si disponibles.</x:t>
        </x:is>
      </x:c>
    </x:row>
    <x:row r="236">
      <x:c r="A236" s="17" t="inlineStr">
        <x:is>
          <x:t xml:space="preserve">Belgique|Construction|ND_EBITDA</x:t>
        </x:is>
      </x:c>
      <x:c r="B236" s="17" t="inlineStr">
        <x:is>
          <x:t xml:space="preserve">Belgique</x:t>
        </x:is>
      </x:c>
      <x:c r="C236" s="17" t="inlineStr">
        <x:is>
          <x:t xml:space="preserve">Construction</x:t>
        </x:is>
      </x:c>
      <x:c r="D236" s="17" t="inlineStr">
        <x:is>
          <x:t xml:space="preserve">ND_EBITDA</x:t>
        </x:is>
      </x:c>
      <x:c r="E236" s="17" t="inlineStr">
        <x:is>
          <x:t xml:space="preserve">Dette nette / EBITDA</x:t>
        </x:is>
      </x:c>
      <x:c r="F236" s="20" t="n">
        <x:v>0</x:v>
      </x:c>
      <x:c r="G236" s="20" t="n">
        <x:v>3.5</x:v>
      </x:c>
      <x:c r="H236" s="17" t="inlineStr">
        <x:is>
          <x:t xml:space="preserve">x</x:t>
        </x:is>
      </x:c>
      <x:c r="I236" s="17" t="inlineStr">
        <x:is>
          <x:t xml:space="preserve">LOW_GOOD</x:t>
        </x:is>
      </x:c>
      <x:c r="J236" s="15" t="inlineStr">
        <x:is>
          <x:t xml:space="preserve">https://www.nbb.be/en/central-balance-sheet-office/consultation/statistics-annual-accounts-nbbstat</x:t>
        </x:is>
      </x:c>
      <x:c r="K236" s="15" t="inlineStr">
        <x:is>
          <x:t xml:space="preserve">Repères génériques. À adapter selon taille/maturité; remplacez par médianes/quartiles sectoriels si disponibles.</x:t>
        </x:is>
      </x:c>
    </x:row>
    <x:row r="237">
      <x:c r="A237" s="17" t="inlineStr">
        <x:is>
          <x:t xml:space="preserve">Belgique|Construction|D_E</x:t>
        </x:is>
      </x:c>
      <x:c r="B237" s="17" t="inlineStr">
        <x:is>
          <x:t xml:space="preserve">Belgique</x:t>
        </x:is>
      </x:c>
      <x:c r="C237" s="17" t="inlineStr">
        <x:is>
          <x:t xml:space="preserve">Construction</x:t>
        </x:is>
      </x:c>
      <x:c r="D237" s="17" t="inlineStr">
        <x:is>
          <x:t xml:space="preserve">D_E</x:t>
        </x:is>
      </x:c>
      <x:c r="E237" s="17" t="inlineStr">
        <x:is>
          <x:t xml:space="preserve">Dette / CP</x:t>
        </x:is>
      </x:c>
      <x:c r="F237" s="20" t="n">
        <x:v>0</x:v>
      </x:c>
      <x:c r="G237" s="20" t="n">
        <x:v>2</x:v>
      </x:c>
      <x:c r="H237" s="17" t="inlineStr">
        <x:is>
          <x:t xml:space="preserve">x</x:t>
        </x:is>
      </x:c>
      <x:c r="I237" s="17" t="inlineStr">
        <x:is>
          <x:t xml:space="preserve">LOW_GOOD</x:t>
        </x:is>
      </x:c>
      <x:c r="J237" s="15" t="inlineStr">
        <x:is>
          <x:t xml:space="preserve">https://www.nbb.be/en/central-balance-sheet-office/consultation/statistics-annual-accounts-nbbstat</x:t>
        </x:is>
      </x:c>
      <x:c r="K237" s="15" t="inlineStr">
        <x:is>
          <x:t xml:space="preserve">Repères génériques. À adapter selon taille/maturité; remplacez par médianes/quartiles sectoriels si disponibles.</x:t>
        </x:is>
      </x:c>
    </x:row>
    <x:row r="238">
      <x:c r="A238" s="17" t="inlineStr">
        <x:is>
          <x:t xml:space="preserve">Belgique|Construction|ICR</x:t>
        </x:is>
      </x:c>
      <x:c r="B238" s="17" t="inlineStr">
        <x:is>
          <x:t xml:space="preserve">Belgique</x:t>
        </x:is>
      </x:c>
      <x:c r="C238" s="17" t="inlineStr">
        <x:is>
          <x:t xml:space="preserve">Construction</x:t>
        </x:is>
      </x:c>
      <x:c r="D238" s="17" t="inlineStr">
        <x:is>
          <x:t xml:space="preserve">ICR</x:t>
        </x:is>
      </x:c>
      <x:c r="E238" s="17" t="inlineStr">
        <x:is>
          <x:t xml:space="preserve">Couverture intérêts (EBIT/Intérêts)</x:t>
        </x:is>
      </x:c>
      <x:c r="F238" s="20" t="n">
        <x:v>2.5</x:v>
      </x:c>
      <x:c r="G238" s="20" t="n">
        <x:v>10</x:v>
      </x:c>
      <x:c r="H238" s="17" t="inlineStr">
        <x:is>
          <x:t xml:space="preserve">x</x:t>
        </x:is>
      </x:c>
      <x:c r="I238" s="17" t="inlineStr">
        <x:is>
          <x:t xml:space="preserve">HIGH_GOOD</x:t>
        </x:is>
      </x:c>
      <x:c r="J238" s="15" t="inlineStr">
        <x:is>
          <x:t xml:space="preserve">https://www.nbb.be/en/central-balance-sheet-office/consultation/statistics-annual-accounts-nbbstat</x:t>
        </x:is>
      </x:c>
      <x:c r="K238" s="15" t="inlineStr">
        <x:is>
          <x:t xml:space="preserve">Repères génériques. À adapter selon taille/maturité; remplacez par médianes/quartiles sectoriels si disponibles.</x:t>
        </x:is>
      </x:c>
    </x:row>
    <x:row r="239">
      <x:c r="A239" s="17" t="inlineStr">
        <x:is>
          <x:t xml:space="preserve">Belgique|Construction|DSCR</x:t>
        </x:is>
      </x:c>
      <x:c r="B239" s="17" t="inlineStr">
        <x:is>
          <x:t xml:space="preserve">Belgique</x:t>
        </x:is>
      </x:c>
      <x:c r="C239" s="17" t="inlineStr">
        <x:is>
          <x:t xml:space="preserve">Construction</x:t>
        </x:is>
      </x:c>
      <x:c r="D239" s="17" t="inlineStr">
        <x:is>
          <x:t xml:space="preserve">DSCR</x:t>
        </x:is>
      </x:c>
      <x:c r="E239" s="17" t="inlineStr">
        <x:is>
          <x:t xml:space="preserve">DSCR</x:t>
        </x:is>
      </x:c>
      <x:c r="F239" s="20" t="n">
        <x:v>1.1</x:v>
      </x:c>
      <x:c r="G239" s="20" t="n">
        <x:v>2.5</x:v>
      </x:c>
      <x:c r="H239" s="17" t="inlineStr">
        <x:is>
          <x:t xml:space="preserve">x</x:t>
        </x:is>
      </x:c>
      <x:c r="I239" s="17" t="inlineStr">
        <x:is>
          <x:t xml:space="preserve">HIGH_GOOD</x:t>
        </x:is>
      </x:c>
      <x:c r="J239" s="15" t="inlineStr">
        <x:is>
          <x:t xml:space="preserve">https://www.nbb.be/en/central-balance-sheet-office/consultation/statistics-annual-accounts-nbbstat</x:t>
        </x:is>
      </x:c>
      <x:c r="K239" s="15" t="inlineStr">
        <x:is>
          <x:t xml:space="preserve">Repères génériques. À adapter selon taille/maturité; remplacez par médianes/quartiles sectoriels si disponibles.</x:t>
        </x:is>
      </x:c>
    </x:row>
    <x:row r="240">
      <x:c r="A240" s="17" t="inlineStr">
        <x:is>
          <x:t xml:space="preserve">Belgique|Construction|CFO_NI</x:t>
        </x:is>
      </x:c>
      <x:c r="B240" s="17" t="inlineStr">
        <x:is>
          <x:t xml:space="preserve">Belgique</x:t>
        </x:is>
      </x:c>
      <x:c r="C240" s="17" t="inlineStr">
        <x:is>
          <x:t xml:space="preserve">Construction</x:t>
        </x:is>
      </x:c>
      <x:c r="D240" s="17" t="inlineStr">
        <x:is>
          <x:t xml:space="preserve">CFO_NI</x:t>
        </x:is>
      </x:c>
      <x:c r="E240" s="17" t="inlineStr">
        <x:is>
          <x:t xml:space="preserve">CFO / RN</x:t>
        </x:is>
      </x:c>
      <x:c r="F240" s="20" t="n">
        <x:v>0.9</x:v>
      </x:c>
      <x:c r="G240" s="20" t="n">
        <x:v>1.6</x:v>
      </x:c>
      <x:c r="H240" s="17" t="inlineStr">
        <x:is>
          <x:t xml:space="preserve">x</x:t>
        </x:is>
      </x:c>
      <x:c r="I240" s="17" t="inlineStr">
        <x:is>
          <x:t xml:space="preserve">HIGH_GOOD</x:t>
        </x:is>
      </x:c>
      <x:c r="J240" s="15" t="inlineStr">
        <x:is>
          <x:t xml:space="preserve">https://www.nbb.be/en/central-balance-sheet-office/consultation/statistics-annual-accounts-nbbstat</x:t>
        </x:is>
      </x:c>
      <x:c r="K240" s="15" t="inlineStr">
        <x:is>
          <x:t xml:space="preserve">Repères génériques. À adapter selon taille/maturité; remplacez par médianes/quartiles sectoriels si disponibles.</x:t>
        </x:is>
      </x:c>
    </x:row>
    <x:row r="241">
      <x:c r="A241" s="17" t="inlineStr">
        <x:is>
          <x:t xml:space="preserve">Belgique|Construction|ROA</x:t>
        </x:is>
      </x:c>
      <x:c r="B241" s="17" t="inlineStr">
        <x:is>
          <x:t xml:space="preserve">Belgique</x:t>
        </x:is>
      </x:c>
      <x:c r="C241" s="17" t="inlineStr">
        <x:is>
          <x:t xml:space="preserve">Construction</x:t>
        </x:is>
      </x:c>
      <x:c r="D241" s="17" t="inlineStr">
        <x:is>
          <x:t xml:space="preserve">ROA</x:t>
        </x:is>
      </x:c>
      <x:c r="E241" s="17" t="inlineStr">
        <x:is>
          <x:t xml:space="preserve">ROA</x:t>
        </x:is>
      </x:c>
      <x:c r="F241" s="18" t="n">
        <x:v>0.02</x:v>
      </x:c>
      <x:c r="G241" s="18" t="n">
        <x:v>0.08</x:v>
      </x:c>
      <x:c r="H241" s="17" t="inlineStr">
        <x:is>
          <x:t xml:space="preserve">%</x:t>
        </x:is>
      </x:c>
      <x:c r="I241" s="17" t="inlineStr">
        <x:is>
          <x:t xml:space="preserve">HIGH_GOOD</x:t>
        </x:is>
      </x:c>
      <x:c r="J241" s="15" t="inlineStr">
        <x:is>
          <x:t xml:space="preserve">https://www.nbb.be/en/central-balance-sheet-office/consultation/statistics-annual-accounts-nbbstat</x:t>
        </x:is>
      </x:c>
      <x:c r="K241" s="15" t="inlineStr">
        <x:is>
          <x:t xml:space="preserve">Repères génériques. À adapter selon taille/maturité; remplacez par médianes/quartiles sectoriels si disponibles.</x:t>
        </x:is>
      </x:c>
    </x:row>
    <x:row r="242">
      <x:c r="A242" s="17" t="inlineStr">
        <x:is>
          <x:t xml:space="preserve">Belgique|Construction|ROE</x:t>
        </x:is>
      </x:c>
      <x:c r="B242" s="17" t="inlineStr">
        <x:is>
          <x:t xml:space="preserve">Belgique</x:t>
        </x:is>
      </x:c>
      <x:c r="C242" s="17" t="inlineStr">
        <x:is>
          <x:t xml:space="preserve">Construction</x:t>
        </x:is>
      </x:c>
      <x:c r="D242" s="17" t="inlineStr">
        <x:is>
          <x:t xml:space="preserve">ROE</x:t>
        </x:is>
      </x:c>
      <x:c r="E242" s="17" t="inlineStr">
        <x:is>
          <x:t xml:space="preserve">ROE</x:t>
        </x:is>
      </x:c>
      <x:c r="F242" s="18" t="n">
        <x:v>0.08</x:v>
      </x:c>
      <x:c r="G242" s="18" t="n">
        <x:v>0.18</x:v>
      </x:c>
      <x:c r="H242" s="17" t="inlineStr">
        <x:is>
          <x:t xml:space="preserve">%</x:t>
        </x:is>
      </x:c>
      <x:c r="I242" s="17" t="inlineStr">
        <x:is>
          <x:t xml:space="preserve">HIGH_GOOD</x:t>
        </x:is>
      </x:c>
      <x:c r="J242" s="15" t="inlineStr">
        <x:is>
          <x:t xml:space="preserve">https://www.nbb.be/en/central-balance-sheet-office/consultation/statistics-annual-accounts-nbbstat</x:t>
        </x:is>
      </x:c>
      <x:c r="K242" s="15" t="inlineStr">
        <x:is>
          <x:t xml:space="preserve">Repères génériques. À adapter selon taille/maturité; remplacez par médianes/quartiles sectoriels si disponibles.</x:t>
        </x:is>
      </x:c>
    </x:row>
    <x:row r="243">
      <x:c r="A243" s="17" t="inlineStr">
        <x:is>
          <x:t xml:space="preserve">Belgique|Construction|ROCE</x:t>
        </x:is>
      </x:c>
      <x:c r="B243" s="17" t="inlineStr">
        <x:is>
          <x:t xml:space="preserve">Belgique</x:t>
        </x:is>
      </x:c>
      <x:c r="C243" s="17" t="inlineStr">
        <x:is>
          <x:t xml:space="preserve">Construction</x:t>
        </x:is>
      </x:c>
      <x:c r="D243" s="17" t="inlineStr">
        <x:is>
          <x:t xml:space="preserve">ROCE</x:t>
        </x:is>
      </x:c>
      <x:c r="E243" s="17" t="inlineStr">
        <x:is>
          <x:t xml:space="preserve">ROCE</x:t>
        </x:is>
      </x:c>
      <x:c r="F243" s="18" t="n">
        <x:v>0.08</x:v>
      </x:c>
      <x:c r="G243" s="18" t="n">
        <x:v>0.2</x:v>
      </x:c>
      <x:c r="H243" s="17" t="inlineStr">
        <x:is>
          <x:t xml:space="preserve">%</x:t>
        </x:is>
      </x:c>
      <x:c r="I243" s="17" t="inlineStr">
        <x:is>
          <x:t xml:space="preserve">HIGH_GOOD</x:t>
        </x:is>
      </x:c>
      <x:c r="J243" s="15" t="inlineStr">
        <x:is>
          <x:t xml:space="preserve">https://www.nbb.be/en/central-balance-sheet-office/consultation/statistics-annual-accounts-nbbstat</x:t>
        </x:is>
      </x:c>
      <x:c r="K243" s="15" t="inlineStr">
        <x:is>
          <x:t xml:space="preserve">Repères génériques. À adapter selon taille/maturité; remplacez par médianes/quartiles sectoriels si disponibles.</x:t>
        </x:is>
      </x:c>
    </x:row>
    <x:row r="244">
      <x:c r="A244" s="17" t="inlineStr">
        <x:is>
          <x:t xml:space="preserve">Zone Comptable OHADA|Industrie|M_GROSS</x:t>
        </x:is>
      </x:c>
      <x:c r="B244" s="17" t="inlineStr">
        <x:is>
          <x:t xml:space="preserve">Zone Comptable OHADA</x:t>
        </x:is>
      </x:c>
      <x:c r="C244" s="17" t="inlineStr">
        <x:is>
          <x:t xml:space="preserve">Industrie</x:t>
        </x:is>
      </x:c>
      <x:c r="D244" s="17" t="inlineStr">
        <x:is>
          <x:t xml:space="preserve">M_GROSS</x:t>
        </x:is>
      </x:c>
      <x:c r="E244" s="17" t="inlineStr">
        <x:is>
          <x:t xml:space="preserve">Marge brute</x:t>
        </x:is>
      </x:c>
      <x:c r="F244" s="18" t="n">
        <x:v>0.2</x:v>
      </x:c>
      <x:c r="G244" s="18" t="n">
        <x:v>0.45</x:v>
      </x:c>
      <x:c r="H244" s="17" t="inlineStr">
        <x:is>
          <x:t xml:space="preserve">%</x:t>
        </x:is>
      </x:c>
      <x:c r="I244" s="17" t="inlineStr">
        <x:is>
          <x:t xml:space="preserve">HIGH_GOOD</x:t>
        </x:is>
      </x:c>
      <x:c r="J244" s="15" t="inlineStr">
        <x:is>
          <x:t xml:space="preserve">https://www.ohada.org/en/ohada-accounting-law/</x:t>
        </x:is>
      </x:c>
      <x:c r="K244" s="15" t="inlineStr">
        <x:is>
          <x:t xml:space="preserve">Repères génériques. À adapter selon taille/maturité; remplacez par médianes/quartiles sectoriels si disponibles.</x:t>
        </x:is>
      </x:c>
    </x:row>
    <x:row r="245">
      <x:c r="A245" s="17" t="inlineStr">
        <x:is>
          <x:t xml:space="preserve">Zone Comptable OHADA|Industrie|M_EBITDA</x:t>
        </x:is>
      </x:c>
      <x:c r="B245" s="17" t="inlineStr">
        <x:is>
          <x:t xml:space="preserve">Zone Comptable OHADA</x:t>
        </x:is>
      </x:c>
      <x:c r="C245" s="17" t="inlineStr">
        <x:is>
          <x:t xml:space="preserve">Industrie</x:t>
        </x:is>
      </x:c>
      <x:c r="D245" s="17" t="inlineStr">
        <x:is>
          <x:t xml:space="preserve">M_EBITDA</x:t>
        </x:is>
      </x:c>
      <x:c r="E245" s="17" t="inlineStr">
        <x:is>
          <x:t xml:space="preserve">Marge EBITDA</x:t>
        </x:is>
      </x:c>
      <x:c r="F245" s="18" t="n">
        <x:v>0.1</x:v>
      </x:c>
      <x:c r="G245" s="18" t="n">
        <x:v>0.22</x:v>
      </x:c>
      <x:c r="H245" s="17" t="inlineStr">
        <x:is>
          <x:t xml:space="preserve">%</x:t>
        </x:is>
      </x:c>
      <x:c r="I245" s="17" t="inlineStr">
        <x:is>
          <x:t xml:space="preserve">HIGH_GOOD</x:t>
        </x:is>
      </x:c>
      <x:c r="J245" s="15" t="inlineStr">
        <x:is>
          <x:t xml:space="preserve">https://www.ohada.org/en/ohada-accounting-law/</x:t>
        </x:is>
      </x:c>
      <x:c r="K245" s="15" t="inlineStr">
        <x:is>
          <x:t xml:space="preserve">Repères génériques. À adapter selon taille/maturité; remplacez par médianes/quartiles sectoriels si disponibles.</x:t>
        </x:is>
      </x:c>
    </x:row>
    <x:row r="246">
      <x:c r="A246" s="17" t="inlineStr">
        <x:is>
          <x:t xml:space="preserve">Zone Comptable OHADA|Industrie|M_EBIT</x:t>
        </x:is>
      </x:c>
      <x:c r="B246" s="17" t="inlineStr">
        <x:is>
          <x:t xml:space="preserve">Zone Comptable OHADA</x:t>
        </x:is>
      </x:c>
      <x:c r="C246" s="17" t="inlineStr">
        <x:is>
          <x:t xml:space="preserve">Industrie</x:t>
        </x:is>
      </x:c>
      <x:c r="D246" s="17" t="inlineStr">
        <x:is>
          <x:t xml:space="preserve">M_EBIT</x:t>
        </x:is>
      </x:c>
      <x:c r="E246" s="17" t="inlineStr">
        <x:is>
          <x:t xml:space="preserve">Marge EBIT</x:t>
        </x:is>
      </x:c>
      <x:c r="F246" s="18" t="n">
        <x:v>0.06</x:v>
      </x:c>
      <x:c r="G246" s="18" t="n">
        <x:v>0.15</x:v>
      </x:c>
      <x:c r="H246" s="17" t="inlineStr">
        <x:is>
          <x:t xml:space="preserve">%</x:t>
        </x:is>
      </x:c>
      <x:c r="I246" s="17" t="inlineStr">
        <x:is>
          <x:t xml:space="preserve">HIGH_GOOD</x:t>
        </x:is>
      </x:c>
      <x:c r="J246" s="15" t="inlineStr">
        <x:is>
          <x:t xml:space="preserve">https://www.ohada.org/en/ohada-accounting-law/</x:t>
        </x:is>
      </x:c>
      <x:c r="K246" s="15" t="inlineStr">
        <x:is>
          <x:t xml:space="preserve">Repères génériques. À adapter selon taille/maturité; remplacez par médianes/quartiles sectoriels si disponibles.</x:t>
        </x:is>
      </x:c>
    </x:row>
    <x:row r="247">
      <x:c r="A247" s="17" t="inlineStr">
        <x:is>
          <x:t xml:space="preserve">Zone Comptable OHADA|Industrie|M_NET</x:t>
        </x:is>
      </x:c>
      <x:c r="B247" s="17" t="inlineStr">
        <x:is>
          <x:t xml:space="preserve">Zone Comptable OHADA</x:t>
        </x:is>
      </x:c>
      <x:c r="C247" s="17" t="inlineStr">
        <x:is>
          <x:t xml:space="preserve">Industrie</x:t>
        </x:is>
      </x:c>
      <x:c r="D247" s="17" t="inlineStr">
        <x:is>
          <x:t xml:space="preserve">M_NET</x:t>
        </x:is>
      </x:c>
      <x:c r="E247" s="17" t="inlineStr">
        <x:is>
          <x:t xml:space="preserve">Marge nette</x:t>
        </x:is>
      </x:c>
      <x:c r="F247" s="18" t="n">
        <x:v>0.03</x:v>
      </x:c>
      <x:c r="G247" s="18" t="n">
        <x:v>0.1</x:v>
      </x:c>
      <x:c r="H247" s="17" t="inlineStr">
        <x:is>
          <x:t xml:space="preserve">%</x:t>
        </x:is>
      </x:c>
      <x:c r="I247" s="17" t="inlineStr">
        <x:is>
          <x:t xml:space="preserve">HIGH_GOOD</x:t>
        </x:is>
      </x:c>
      <x:c r="J247" s="15" t="inlineStr">
        <x:is>
          <x:t xml:space="preserve">https://www.ohada.org/en/ohada-accounting-law/</x:t>
        </x:is>
      </x:c>
      <x:c r="K247" s="15" t="inlineStr">
        <x:is>
          <x:t xml:space="preserve">Repères génériques. À adapter selon taille/maturité; remplacez par médianes/quartiles sectoriels si disponibles.</x:t>
        </x:is>
      </x:c>
    </x:row>
    <x:row r="248">
      <x:c r="A248" s="17" t="inlineStr">
        <x:is>
          <x:t xml:space="preserve">Zone Comptable OHADA|Industrie|G_REV</x:t>
        </x:is>
      </x:c>
      <x:c r="B248" s="17" t="inlineStr">
        <x:is>
          <x:t xml:space="preserve">Zone Comptable OHADA</x:t>
        </x:is>
      </x:c>
      <x:c r="C248" s="17" t="inlineStr">
        <x:is>
          <x:t xml:space="preserve">Industrie</x:t>
        </x:is>
      </x:c>
      <x:c r="D248" s="17" t="inlineStr">
        <x:is>
          <x:t xml:space="preserve">G_REV</x:t>
        </x:is>
      </x:c>
      <x:c r="E248" s="17" t="inlineStr">
        <x:is>
          <x:t xml:space="preserve">Croissance CA</x:t>
        </x:is>
      </x:c>
      <x:c r="F248" s="18" t="n">
        <x:v>-0.05</x:v>
      </x:c>
      <x:c r="G248" s="18" t="n">
        <x:v>0.15</x:v>
      </x:c>
      <x:c r="H248" s="17" t="inlineStr">
        <x:is>
          <x:t xml:space="preserve">%</x:t>
        </x:is>
      </x:c>
      <x:c r="I248" s="17" t="inlineStr">
        <x:is>
          <x:t xml:space="preserve">HIGH_GOOD</x:t>
        </x:is>
      </x:c>
      <x:c r="J248" s="15" t="inlineStr">
        <x:is>
          <x:t xml:space="preserve">https://www.ohada.org/en/ohada-accounting-law/</x:t>
        </x:is>
      </x:c>
      <x:c r="K248" s="15" t="inlineStr">
        <x:is>
          <x:t xml:space="preserve">Repères génériques. À adapter selon taille/maturité; remplacez par médianes/quartiles sectoriels si disponibles.</x:t>
        </x:is>
      </x:c>
    </x:row>
    <x:row r="249">
      <x:c r="A249" s="17" t="inlineStr">
        <x:is>
          <x:t xml:space="preserve">Zone Comptable OHADA|Industrie|G_NI</x:t>
        </x:is>
      </x:c>
      <x:c r="B249" s="17" t="inlineStr">
        <x:is>
          <x:t xml:space="preserve">Zone Comptable OHADA</x:t>
        </x:is>
      </x:c>
      <x:c r="C249" s="17" t="inlineStr">
        <x:is>
          <x:t xml:space="preserve">Industrie</x:t>
        </x:is>
      </x:c>
      <x:c r="D249" s="17" t="inlineStr">
        <x:is>
          <x:t xml:space="preserve">G_NI</x:t>
        </x:is>
      </x:c>
      <x:c r="E249" s="17" t="inlineStr">
        <x:is>
          <x:t xml:space="preserve">Croissance RN</x:t>
        </x:is>
      </x:c>
      <x:c r="F249" s="18" t="n">
        <x:v>-0.1</x:v>
      </x:c>
      <x:c r="G249" s="18" t="n">
        <x:v>0.2</x:v>
      </x:c>
      <x:c r="H249" s="17" t="inlineStr">
        <x:is>
          <x:t xml:space="preserve">%</x:t>
        </x:is>
      </x:c>
      <x:c r="I249" s="17" t="inlineStr">
        <x:is>
          <x:t xml:space="preserve">HIGH_GOOD</x:t>
        </x:is>
      </x:c>
      <x:c r="J249" s="15" t="inlineStr">
        <x:is>
          <x:t xml:space="preserve">https://www.ohada.org/en/ohada-accounting-law/</x:t>
        </x:is>
      </x:c>
      <x:c r="K249" s="15" t="inlineStr">
        <x:is>
          <x:t xml:space="preserve">Repères génériques. À adapter selon taille/maturité; remplacez par médianes/quartiles sectoriels si disponibles.</x:t>
        </x:is>
      </x:c>
    </x:row>
    <x:row r="250">
      <x:c r="A250" s="17" t="inlineStr">
        <x:is>
          <x:t xml:space="preserve">Zone Comptable OHADA|Industrie|D_INV</x:t>
        </x:is>
      </x:c>
      <x:c r="B250" s="17" t="inlineStr">
        <x:is>
          <x:t xml:space="preserve">Zone Comptable OHADA</x:t>
        </x:is>
      </x:c>
      <x:c r="C250" s="17" t="inlineStr">
        <x:is>
          <x:t xml:space="preserve">Industrie</x:t>
        </x:is>
      </x:c>
      <x:c r="D250" s="17" t="inlineStr">
        <x:is>
          <x:t xml:space="preserve">D_INV</x:t>
        </x:is>
      </x:c>
      <x:c r="E250" s="17" t="inlineStr">
        <x:is>
          <x:t xml:space="preserve">Jours de stocks</x:t>
        </x:is>
      </x:c>
      <x:c r="F250" s="26" t="n">
        <x:v>30</x:v>
      </x:c>
      <x:c r="G250" s="26" t="n">
        <x:v>90</x:v>
      </x:c>
      <x:c r="H250" s="17" t="inlineStr">
        <x:is>
          <x:t xml:space="preserve">jours</x:t>
        </x:is>
      </x:c>
      <x:c r="I250" s="17" t="inlineStr">
        <x:is>
          <x:t xml:space="preserve">LOW_GOOD</x:t>
        </x:is>
      </x:c>
      <x:c r="J250" s="15" t="inlineStr">
        <x:is>
          <x:t xml:space="preserve">https://www.ohada.org/en/ohada-accounting-law/</x:t>
        </x:is>
      </x:c>
      <x:c r="K250" s="15" t="inlineStr">
        <x:is>
          <x:t xml:space="preserve">Repères génériques. À adapter selon taille/maturité; remplacez par médianes/quartiles sectoriels si disponibles.</x:t>
        </x:is>
      </x:c>
    </x:row>
    <x:row r="251">
      <x:c r="A251" s="17" t="inlineStr">
        <x:is>
          <x:t xml:space="preserve">Zone Comptable OHADA|Industrie|DSO</x:t>
        </x:is>
      </x:c>
      <x:c r="B251" s="17" t="inlineStr">
        <x:is>
          <x:t xml:space="preserve">Zone Comptable OHADA</x:t>
        </x:is>
      </x:c>
      <x:c r="C251" s="17" t="inlineStr">
        <x:is>
          <x:t xml:space="preserve">Industrie</x:t>
        </x:is>
      </x:c>
      <x:c r="D251" s="17" t="inlineStr">
        <x:is>
          <x:t xml:space="preserve">DSO</x:t>
        </x:is>
      </x:c>
      <x:c r="E251" s="17" t="inlineStr">
        <x:is>
          <x:t xml:space="preserve">DSO (jours clients)</x:t>
        </x:is>
      </x:c>
      <x:c r="F251" s="26" t="n">
        <x:v>45</x:v>
      </x:c>
      <x:c r="G251" s="26" t="n">
        <x:v>100</x:v>
      </x:c>
      <x:c r="H251" s="17" t="inlineStr">
        <x:is>
          <x:t xml:space="preserve">jours</x:t>
        </x:is>
      </x:c>
      <x:c r="I251" s="17" t="inlineStr">
        <x:is>
          <x:t xml:space="preserve">LOW_GOOD</x:t>
        </x:is>
      </x:c>
      <x:c r="J251" s="15" t="inlineStr">
        <x:is>
          <x:t xml:space="preserve">https://www.ohada.org/en/ohada-accounting-law/</x:t>
        </x:is>
      </x:c>
      <x:c r="K251" s="15" t="inlineStr">
        <x:is>
          <x:t xml:space="preserve">Repère prudente. À calibrer avec comparables locaux.</x:t>
        </x:is>
      </x:c>
    </x:row>
    <x:row r="252">
      <x:c r="A252" s="17" t="inlineStr">
        <x:is>
          <x:t xml:space="preserve">Zone Comptable OHADA|Industrie|DPO</x:t>
        </x:is>
      </x:c>
      <x:c r="B252" s="17" t="inlineStr">
        <x:is>
          <x:t xml:space="preserve">Zone Comptable OHADA</x:t>
        </x:is>
      </x:c>
      <x:c r="C252" s="17" t="inlineStr">
        <x:is>
          <x:t xml:space="preserve">Industrie</x:t>
        </x:is>
      </x:c>
      <x:c r="D252" s="17" t="inlineStr">
        <x:is>
          <x:t xml:space="preserve">DPO</x:t>
        </x:is>
      </x:c>
      <x:c r="E252" s="17" t="inlineStr">
        <x:is>
          <x:t xml:space="preserve">DPO (jours fournisseurs)</x:t>
        </x:is>
      </x:c>
      <x:c r="F252" s="26" t="n">
        <x:v>40</x:v>
      </x:c>
      <x:c r="G252" s="26" t="n">
        <x:v>90</x:v>
      </x:c>
      <x:c r="H252" s="17" t="inlineStr">
        <x:is>
          <x:t xml:space="preserve">jours</x:t>
        </x:is>
      </x:c>
      <x:c r="I252" s="17" t="inlineStr">
        <x:is>
          <x:t xml:space="preserve">RANGE</x:t>
        </x:is>
      </x:c>
      <x:c r="J252" s="15" t="inlineStr">
        <x:is>
          <x:t xml:space="preserve">https://www.ohada.org/en/ohada-accounting-law/</x:t>
        </x:is>
      </x:c>
      <x:c r="K252" s="15" t="inlineStr">
        <x:is>
          <x:t xml:space="preserve">Repères génériques. À adapter selon taille/maturité; remplacez par médianes/quartiles sectoriels si disponibles.</x:t>
        </x:is>
      </x:c>
    </x:row>
    <x:row r="253">
      <x:c r="A253" s="17" t="inlineStr">
        <x:is>
          <x:t xml:space="preserve">Zone Comptable OHADA|Industrie|CCC</x:t>
        </x:is>
      </x:c>
      <x:c r="B253" s="17" t="inlineStr">
        <x:is>
          <x:t xml:space="preserve">Zone Comptable OHADA</x:t>
        </x:is>
      </x:c>
      <x:c r="C253" s="17" t="inlineStr">
        <x:is>
          <x:t xml:space="preserve">Industrie</x:t>
        </x:is>
      </x:c>
      <x:c r="D253" s="17" t="inlineStr">
        <x:is>
          <x:t xml:space="preserve">CCC</x:t>
        </x:is>
      </x:c>
      <x:c r="E253" s="17" t="inlineStr">
        <x:is>
          <x:t xml:space="preserve">Cycle de conversion cash (jours)</x:t>
        </x:is>
      </x:c>
      <x:c r="F253" s="26" t="n">
        <x:v>0</x:v>
      </x:c>
      <x:c r="G253" s="26" t="n">
        <x:v>80</x:v>
      </x:c>
      <x:c r="H253" s="17" t="inlineStr">
        <x:is>
          <x:t xml:space="preserve">jours</x:t>
        </x:is>
      </x:c>
      <x:c r="I253" s="17" t="inlineStr">
        <x:is>
          <x:t xml:space="preserve">LOW_GOOD</x:t>
        </x:is>
      </x:c>
      <x:c r="J253" s="15" t="inlineStr">
        <x:is>
          <x:t xml:space="preserve">https://www.ohada.org/en/ohada-accounting-law/</x:t>
        </x:is>
      </x:c>
      <x:c r="K253" s="15" t="inlineStr">
        <x:is>
          <x:t xml:space="preserve">Repère prudente. À calibrer avec comparables locaux.</x:t>
        </x:is>
      </x:c>
    </x:row>
    <x:row r="254">
      <x:c r="A254" s="17" t="inlineStr">
        <x:is>
          <x:t xml:space="preserve">Zone Comptable OHADA|Industrie|BFR_REV</x:t>
        </x:is>
      </x:c>
      <x:c r="B254" s="17" t="inlineStr">
        <x:is>
          <x:t xml:space="preserve">Zone Comptable OHADA</x:t>
        </x:is>
      </x:c>
      <x:c r="C254" s="17" t="inlineStr">
        <x:is>
          <x:t xml:space="preserve">Industrie</x:t>
        </x:is>
      </x:c>
      <x:c r="D254" s="17" t="inlineStr">
        <x:is>
          <x:t xml:space="preserve">BFR_REV</x:t>
        </x:is>
      </x:c>
      <x:c r="E254" s="17" t="inlineStr">
        <x:is>
          <x:t xml:space="preserve">BFR / CA</x:t>
        </x:is>
      </x:c>
      <x:c r="F254" s="18" t="n">
        <x:v>-0.05</x:v>
      </x:c>
      <x:c r="G254" s="18" t="n">
        <x:v>0.2</x:v>
      </x:c>
      <x:c r="H254" s="17" t="inlineStr">
        <x:is>
          <x:t xml:space="preserve">%</x:t>
        </x:is>
      </x:c>
      <x:c r="I254" s="17" t="inlineStr">
        <x:is>
          <x:t xml:space="preserve">RANGE</x:t>
        </x:is>
      </x:c>
      <x:c r="J254" s="15" t="inlineStr">
        <x:is>
          <x:t xml:space="preserve">https://www.ohada.org/en/ohada-accounting-law/</x:t>
        </x:is>
      </x:c>
      <x:c r="K254" s="15" t="inlineStr">
        <x:is>
          <x:t xml:space="preserve">Repères génériques. À adapter selon taille/maturité; remplacez par médianes/quartiles sectoriels si disponibles.</x:t>
        </x:is>
      </x:c>
    </x:row>
    <x:row r="255">
      <x:c r="A255" s="17" t="inlineStr">
        <x:is>
          <x:t xml:space="preserve">Zone Comptable OHADA|Industrie|EQ_RATIO</x:t>
        </x:is>
      </x:c>
      <x:c r="B255" s="17" t="inlineStr">
        <x:is>
          <x:t xml:space="preserve">Zone Comptable OHADA</x:t>
        </x:is>
      </x:c>
      <x:c r="C255" s="17" t="inlineStr">
        <x:is>
          <x:t xml:space="preserve">Industrie</x:t>
        </x:is>
      </x:c>
      <x:c r="D255" s="17" t="inlineStr">
        <x:is>
          <x:t xml:space="preserve">EQ_RATIO</x:t>
        </x:is>
      </x:c>
      <x:c r="E255" s="17" t="inlineStr">
        <x:is>
          <x:t xml:space="preserve">Autonomie financière (CP/Total bilan)</x:t>
        </x:is>
      </x:c>
      <x:c r="F255" s="18" t="n">
        <x:v>0.3</x:v>
      </x:c>
      <x:c r="G255" s="18" t="n">
        <x:v>0.6</x:v>
      </x:c>
      <x:c r="H255" s="17" t="inlineStr">
        <x:is>
          <x:t xml:space="preserve">%</x:t>
        </x:is>
      </x:c>
      <x:c r="I255" s="17" t="inlineStr">
        <x:is>
          <x:t xml:space="preserve">HIGH_GOOD</x:t>
        </x:is>
      </x:c>
      <x:c r="J255" s="15" t="inlineStr">
        <x:is>
          <x:t xml:space="preserve">https://www.ohada.org/en/ohada-accounting-law/</x:t>
        </x:is>
      </x:c>
      <x:c r="K255" s="15" t="inlineStr">
        <x:is>
          <x:t xml:space="preserve">Repères génériques. À adapter selon taille/maturité; remplacez par médianes/quartiles sectoriels si disponibles.</x:t>
        </x:is>
      </x:c>
    </x:row>
    <x:row r="256">
      <x:c r="A256" s="17" t="inlineStr">
        <x:is>
          <x:t xml:space="preserve">Zone Comptable OHADA|Industrie|GEARING</x:t>
        </x:is>
      </x:c>
      <x:c r="B256" s="17" t="inlineStr">
        <x:is>
          <x:t xml:space="preserve">Zone Comptable OHADA</x:t>
        </x:is>
      </x:c>
      <x:c r="C256" s="17" t="inlineStr">
        <x:is>
          <x:t xml:space="preserve">Industrie</x:t>
        </x:is>
      </x:c>
      <x:c r="D256" s="17" t="inlineStr">
        <x:is>
          <x:t xml:space="preserve">GEARING</x:t>
        </x:is>
      </x:c>
      <x:c r="E256" s="17" t="inlineStr">
        <x:is>
          <x:t xml:space="preserve">Gearing (Dette nette/CP)</x:t>
        </x:is>
      </x:c>
      <x:c r="F256" s="20" t="n">
        <x:v>0</x:v>
      </x:c>
      <x:c r="G256" s="20" t="n">
        <x:v>1</x:v>
      </x:c>
      <x:c r="H256" s="17" t="inlineStr">
        <x:is>
          <x:t xml:space="preserve">x</x:t>
        </x:is>
      </x:c>
      <x:c r="I256" s="17" t="inlineStr">
        <x:is>
          <x:t xml:space="preserve">LOW_GOOD</x:t>
        </x:is>
      </x:c>
      <x:c r="J256" s="15" t="inlineStr">
        <x:is>
          <x:t xml:space="preserve">https://www.ohada.org/en/ohada-accounting-law/</x:t>
        </x:is>
      </x:c>
      <x:c r="K256" s="15" t="inlineStr">
        <x:is>
          <x:t xml:space="preserve">Repères génériques. À adapter selon taille/maturité; remplacez par médianes/quartiles sectoriels si disponibles.</x:t>
        </x:is>
      </x:c>
    </x:row>
    <x:row r="257">
      <x:c r="A257" s="17" t="inlineStr">
        <x:is>
          <x:t xml:space="preserve">Zone Comptable OHADA|Industrie|CURR</x:t>
        </x:is>
      </x:c>
      <x:c r="B257" s="17" t="inlineStr">
        <x:is>
          <x:t xml:space="preserve">Zone Comptable OHADA</x:t>
        </x:is>
      </x:c>
      <x:c r="C257" s="17" t="inlineStr">
        <x:is>
          <x:t xml:space="preserve">Industrie</x:t>
        </x:is>
      </x:c>
      <x:c r="D257" s="17" t="inlineStr">
        <x:is>
          <x:t xml:space="preserve">CURR</x:t>
        </x:is>
      </x:c>
      <x:c r="E257" s="17" t="inlineStr">
        <x:is>
          <x:t xml:space="preserve">Current ratio</x:t>
        </x:is>
      </x:c>
      <x:c r="F257" s="20" t="n">
        <x:v>1.2</x:v>
      </x:c>
      <x:c r="G257" s="20" t="n">
        <x:v>2.2</x:v>
      </x:c>
      <x:c r="H257" s="17" t="inlineStr">
        <x:is>
          <x:t xml:space="preserve">x</x:t>
        </x:is>
      </x:c>
      <x:c r="I257" s="17" t="inlineStr">
        <x:is>
          <x:t xml:space="preserve">RANGE</x:t>
        </x:is>
      </x:c>
      <x:c r="J257" s="15" t="inlineStr">
        <x:is>
          <x:t xml:space="preserve">https://www.ohada.org/en/ohada-accounting-law/</x:t>
        </x:is>
      </x:c>
      <x:c r="K257" s="15" t="inlineStr">
        <x:is>
          <x:t xml:space="preserve">Repères génériques. À adapter selon taille/maturité; remplacez par médianes/quartiles sectoriels si disponibles.</x:t>
        </x:is>
      </x:c>
    </x:row>
    <x:row r="258">
      <x:c r="A258" s="17" t="inlineStr">
        <x:is>
          <x:t xml:space="preserve">Zone Comptable OHADA|Industrie|QUICK</x:t>
        </x:is>
      </x:c>
      <x:c r="B258" s="17" t="inlineStr">
        <x:is>
          <x:t xml:space="preserve">Zone Comptable OHADA</x:t>
        </x:is>
      </x:c>
      <x:c r="C258" s="17" t="inlineStr">
        <x:is>
          <x:t xml:space="preserve">Industrie</x:t>
        </x:is>
      </x:c>
      <x:c r="D258" s="17" t="inlineStr">
        <x:is>
          <x:t xml:space="preserve">QUICK</x:t>
        </x:is>
      </x:c>
      <x:c r="E258" s="17" t="inlineStr">
        <x:is>
          <x:t xml:space="preserve">Quick ratio</x:t>
        </x:is>
      </x:c>
      <x:c r="F258" s="20" t="n">
        <x:v>0.9</x:v>
      </x:c>
      <x:c r="G258" s="20" t="n">
        <x:v>1.6</x:v>
      </x:c>
      <x:c r="H258" s="17" t="inlineStr">
        <x:is>
          <x:t xml:space="preserve">x</x:t>
        </x:is>
      </x:c>
      <x:c r="I258" s="17" t="inlineStr">
        <x:is>
          <x:t xml:space="preserve">RANGE</x:t>
        </x:is>
      </x:c>
      <x:c r="J258" s="15" t="inlineStr">
        <x:is>
          <x:t xml:space="preserve">https://www.ohada.org/en/ohada-accounting-law/</x:t>
        </x:is>
      </x:c>
      <x:c r="K258" s="15" t="inlineStr">
        <x:is>
          <x:t xml:space="preserve">Repères génériques. À adapter selon taille/maturité; remplacez par médianes/quartiles sectoriels si disponibles.</x:t>
        </x:is>
      </x:c>
    </x:row>
    <x:row r="259">
      <x:c r="A259" s="17" t="inlineStr">
        <x:is>
          <x:t xml:space="preserve">Zone Comptable OHADA|Industrie|CASHR</x:t>
        </x:is>
      </x:c>
      <x:c r="B259" s="17" t="inlineStr">
        <x:is>
          <x:t xml:space="preserve">Zone Comptable OHADA</x:t>
        </x:is>
      </x:c>
      <x:c r="C259" s="17" t="inlineStr">
        <x:is>
          <x:t xml:space="preserve">Industrie</x:t>
        </x:is>
      </x:c>
      <x:c r="D259" s="17" t="inlineStr">
        <x:is>
          <x:t xml:space="preserve">CASHR</x:t>
        </x:is>
      </x:c>
      <x:c r="E259" s="17" t="inlineStr">
        <x:is>
          <x:t xml:space="preserve">Cash ratio</x:t>
        </x:is>
      </x:c>
      <x:c r="F259" s="20" t="n">
        <x:v>0.2</x:v>
      </x:c>
      <x:c r="G259" s="20" t="n">
        <x:v>0.8</x:v>
      </x:c>
      <x:c r="H259" s="17" t="inlineStr">
        <x:is>
          <x:t xml:space="preserve">x</x:t>
        </x:is>
      </x:c>
      <x:c r="I259" s="17" t="inlineStr">
        <x:is>
          <x:t xml:space="preserve">RANGE</x:t>
        </x:is>
      </x:c>
      <x:c r="J259" s="15" t="inlineStr">
        <x:is>
          <x:t xml:space="preserve">https://www.ohada.org/en/ohada-accounting-law/</x:t>
        </x:is>
      </x:c>
      <x:c r="K259" s="15" t="inlineStr">
        <x:is>
          <x:t xml:space="preserve">Repères génériques. À adapter selon taille/maturité; remplacez par médianes/quartiles sectoriels si disponibles.</x:t>
        </x:is>
      </x:c>
    </x:row>
    <x:row r="260">
      <x:c r="A260" s="17" t="inlineStr">
        <x:is>
          <x:t xml:space="preserve">Zone Comptable OHADA|Industrie|ND_EBITDA</x:t>
        </x:is>
      </x:c>
      <x:c r="B260" s="17" t="inlineStr">
        <x:is>
          <x:t xml:space="preserve">Zone Comptable OHADA</x:t>
        </x:is>
      </x:c>
      <x:c r="C260" s="17" t="inlineStr">
        <x:is>
          <x:t xml:space="preserve">Industrie</x:t>
        </x:is>
      </x:c>
      <x:c r="D260" s="17" t="inlineStr">
        <x:is>
          <x:t xml:space="preserve">ND_EBITDA</x:t>
        </x:is>
      </x:c>
      <x:c r="E260" s="17" t="inlineStr">
        <x:is>
          <x:t xml:space="preserve">Dette nette / EBITDA</x:t>
        </x:is>
      </x:c>
      <x:c r="F260" s="20" t="n">
        <x:v>0</x:v>
      </x:c>
      <x:c r="G260" s="20" t="n">
        <x:v>3</x:v>
      </x:c>
      <x:c r="H260" s="17" t="inlineStr">
        <x:is>
          <x:t xml:space="preserve">x</x:t>
        </x:is>
      </x:c>
      <x:c r="I260" s="17" t="inlineStr">
        <x:is>
          <x:t xml:space="preserve">LOW_GOOD</x:t>
        </x:is>
      </x:c>
      <x:c r="J260" s="15" t="inlineStr">
        <x:is>
          <x:t xml:space="preserve">https://www.ohada.org/en/ohada-accounting-law/</x:t>
        </x:is>
      </x:c>
      <x:c r="K260" s="15" t="inlineStr">
        <x:is>
          <x:t xml:space="preserve">Repères génériques. À adapter selon taille/maturité; remplacez par médianes/quartiles sectoriels si disponibles.</x:t>
        </x:is>
      </x:c>
    </x:row>
    <x:row r="261">
      <x:c r="A261" s="17" t="inlineStr">
        <x:is>
          <x:t xml:space="preserve">Zone Comptable OHADA|Industrie|D_E</x:t>
        </x:is>
      </x:c>
      <x:c r="B261" s="17" t="inlineStr">
        <x:is>
          <x:t xml:space="preserve">Zone Comptable OHADA</x:t>
        </x:is>
      </x:c>
      <x:c r="C261" s="17" t="inlineStr">
        <x:is>
          <x:t xml:space="preserve">Industrie</x:t>
        </x:is>
      </x:c>
      <x:c r="D261" s="17" t="inlineStr">
        <x:is>
          <x:t xml:space="preserve">D_E</x:t>
        </x:is>
      </x:c>
      <x:c r="E261" s="17" t="inlineStr">
        <x:is>
          <x:t xml:space="preserve">Dette / CP</x:t>
        </x:is>
      </x:c>
      <x:c r="F261" s="20" t="n">
        <x:v>0</x:v>
      </x:c>
      <x:c r="G261" s="20" t="n">
        <x:v>1.5</x:v>
      </x:c>
      <x:c r="H261" s="17" t="inlineStr">
        <x:is>
          <x:t xml:space="preserve">x</x:t>
        </x:is>
      </x:c>
      <x:c r="I261" s="17" t="inlineStr">
        <x:is>
          <x:t xml:space="preserve">LOW_GOOD</x:t>
        </x:is>
      </x:c>
      <x:c r="J261" s="15" t="inlineStr">
        <x:is>
          <x:t xml:space="preserve">https://www.ohada.org/en/ohada-accounting-law/</x:t>
        </x:is>
      </x:c>
      <x:c r="K261" s="15" t="inlineStr">
        <x:is>
          <x:t xml:space="preserve">Repères génériques. À adapter selon taille/maturité; remplacez par médianes/quartiles sectoriels si disponibles.</x:t>
        </x:is>
      </x:c>
    </x:row>
    <x:row r="262">
      <x:c r="A262" s="17" t="inlineStr">
        <x:is>
          <x:t xml:space="preserve">Zone Comptable OHADA|Industrie|ICR</x:t>
        </x:is>
      </x:c>
      <x:c r="B262" s="17" t="inlineStr">
        <x:is>
          <x:t xml:space="preserve">Zone Comptable OHADA</x:t>
        </x:is>
      </x:c>
      <x:c r="C262" s="17" t="inlineStr">
        <x:is>
          <x:t xml:space="preserve">Industrie</x:t>
        </x:is>
      </x:c>
      <x:c r="D262" s="17" t="inlineStr">
        <x:is>
          <x:t xml:space="preserve">ICR</x:t>
        </x:is>
      </x:c>
      <x:c r="E262" s="17" t="inlineStr">
        <x:is>
          <x:t xml:space="preserve">Couverture intérêts (EBIT/Intérêts)</x:t>
        </x:is>
      </x:c>
      <x:c r="F262" s="20" t="n">
        <x:v>3</x:v>
      </x:c>
      <x:c r="G262" s="20" t="n">
        <x:v>12</x:v>
      </x:c>
      <x:c r="H262" s="17" t="inlineStr">
        <x:is>
          <x:t xml:space="preserve">x</x:t>
        </x:is>
      </x:c>
      <x:c r="I262" s="17" t="inlineStr">
        <x:is>
          <x:t xml:space="preserve">HIGH_GOOD</x:t>
        </x:is>
      </x:c>
      <x:c r="J262" s="15" t="inlineStr">
        <x:is>
          <x:t xml:space="preserve">https://www.ohada.org/en/ohada-accounting-law/</x:t>
        </x:is>
      </x:c>
      <x:c r="K262" s="15" t="inlineStr">
        <x:is>
          <x:t xml:space="preserve">Repères génériques. À adapter selon taille/maturité; remplacez par médianes/quartiles sectoriels si disponibles.</x:t>
        </x:is>
      </x:c>
    </x:row>
    <x:row r="263">
      <x:c r="A263" s="17" t="inlineStr">
        <x:is>
          <x:t xml:space="preserve">Zone Comptable OHADA|Industrie|DSCR</x:t>
        </x:is>
      </x:c>
      <x:c r="B263" s="17" t="inlineStr">
        <x:is>
          <x:t xml:space="preserve">Zone Comptable OHADA</x:t>
        </x:is>
      </x:c>
      <x:c r="C263" s="17" t="inlineStr">
        <x:is>
          <x:t xml:space="preserve">Industrie</x:t>
        </x:is>
      </x:c>
      <x:c r="D263" s="17" t="inlineStr">
        <x:is>
          <x:t xml:space="preserve">DSCR</x:t>
        </x:is>
      </x:c>
      <x:c r="E263" s="17" t="inlineStr">
        <x:is>
          <x:t xml:space="preserve">DSCR</x:t>
        </x:is>
      </x:c>
      <x:c r="F263" s="20" t="n">
        <x:v>1.2</x:v>
      </x:c>
      <x:c r="G263" s="20" t="n">
        <x:v>3</x:v>
      </x:c>
      <x:c r="H263" s="17" t="inlineStr">
        <x:is>
          <x:t xml:space="preserve">x</x:t>
        </x:is>
      </x:c>
      <x:c r="I263" s="17" t="inlineStr">
        <x:is>
          <x:t xml:space="preserve">HIGH_GOOD</x:t>
        </x:is>
      </x:c>
      <x:c r="J263" s="15" t="inlineStr">
        <x:is>
          <x:t xml:space="preserve">https://www.ohada.org/en/ohada-accounting-law/</x:t>
        </x:is>
      </x:c>
      <x:c r="K263" s="15" t="inlineStr">
        <x:is>
          <x:t xml:space="preserve">Repères génériques. À adapter selon taille/maturité; remplacez par médianes/quartiles sectoriels si disponibles.</x:t>
        </x:is>
      </x:c>
    </x:row>
    <x:row r="264">
      <x:c r="A264" s="17" t="inlineStr">
        <x:is>
          <x:t xml:space="preserve">Zone Comptable OHADA|Industrie|CFO_NI</x:t>
        </x:is>
      </x:c>
      <x:c r="B264" s="17" t="inlineStr">
        <x:is>
          <x:t xml:space="preserve">Zone Comptable OHADA</x:t>
        </x:is>
      </x:c>
      <x:c r="C264" s="17" t="inlineStr">
        <x:is>
          <x:t xml:space="preserve">Industrie</x:t>
        </x:is>
      </x:c>
      <x:c r="D264" s="17" t="inlineStr">
        <x:is>
          <x:t xml:space="preserve">CFO_NI</x:t>
        </x:is>
      </x:c>
      <x:c r="E264" s="17" t="inlineStr">
        <x:is>
          <x:t xml:space="preserve">CFO / RN</x:t>
        </x:is>
      </x:c>
      <x:c r="F264" s="20" t="n">
        <x:v>0.9</x:v>
      </x:c>
      <x:c r="G264" s="20" t="n">
        <x:v>1.5</x:v>
      </x:c>
      <x:c r="H264" s="17" t="inlineStr">
        <x:is>
          <x:t xml:space="preserve">x</x:t>
        </x:is>
      </x:c>
      <x:c r="I264" s="17" t="inlineStr">
        <x:is>
          <x:t xml:space="preserve">HIGH_GOOD</x:t>
        </x:is>
      </x:c>
      <x:c r="J264" s="15" t="inlineStr">
        <x:is>
          <x:t xml:space="preserve">https://www.ohada.org/en/ohada-accounting-law/</x:t>
        </x:is>
      </x:c>
      <x:c r="K264" s="15" t="inlineStr">
        <x:is>
          <x:t xml:space="preserve">Repères génériques. À adapter selon taille/maturité; remplacez par médianes/quartiles sectoriels si disponibles.</x:t>
        </x:is>
      </x:c>
    </x:row>
    <x:row r="265">
      <x:c r="A265" s="17" t="inlineStr">
        <x:is>
          <x:t xml:space="preserve">Zone Comptable OHADA|Industrie|ROA</x:t>
        </x:is>
      </x:c>
      <x:c r="B265" s="17" t="inlineStr">
        <x:is>
          <x:t xml:space="preserve">Zone Comptable OHADA</x:t>
        </x:is>
      </x:c>
      <x:c r="C265" s="17" t="inlineStr">
        <x:is>
          <x:t xml:space="preserve">Industrie</x:t>
        </x:is>
      </x:c>
      <x:c r="D265" s="17" t="inlineStr">
        <x:is>
          <x:t xml:space="preserve">ROA</x:t>
        </x:is>
      </x:c>
      <x:c r="E265" s="17" t="inlineStr">
        <x:is>
          <x:t xml:space="preserve">ROA</x:t>
        </x:is>
      </x:c>
      <x:c r="F265" s="18" t="n">
        <x:v>0.03</x:v>
      </x:c>
      <x:c r="G265" s="18" t="n">
        <x:v>0.1</x:v>
      </x:c>
      <x:c r="H265" s="17" t="inlineStr">
        <x:is>
          <x:t xml:space="preserve">%</x:t>
        </x:is>
      </x:c>
      <x:c r="I265" s="17" t="inlineStr">
        <x:is>
          <x:t xml:space="preserve">HIGH_GOOD</x:t>
        </x:is>
      </x:c>
      <x:c r="J265" s="15" t="inlineStr">
        <x:is>
          <x:t xml:space="preserve">https://www.ohada.org/en/ohada-accounting-law/</x:t>
        </x:is>
      </x:c>
      <x:c r="K265" s="15" t="inlineStr">
        <x:is>
          <x:t xml:space="preserve">Repères génériques. À adapter selon taille/maturité; remplacez par médianes/quartiles sectoriels si disponibles.</x:t>
        </x:is>
      </x:c>
    </x:row>
    <x:row r="266">
      <x:c r="A266" s="17" t="inlineStr">
        <x:is>
          <x:t xml:space="preserve">Zone Comptable OHADA|Industrie|ROE</x:t>
        </x:is>
      </x:c>
      <x:c r="B266" s="17" t="inlineStr">
        <x:is>
          <x:t xml:space="preserve">Zone Comptable OHADA</x:t>
        </x:is>
      </x:c>
      <x:c r="C266" s="17" t="inlineStr">
        <x:is>
          <x:t xml:space="preserve">Industrie</x:t>
        </x:is>
      </x:c>
      <x:c r="D266" s="17" t="inlineStr">
        <x:is>
          <x:t xml:space="preserve">ROE</x:t>
        </x:is>
      </x:c>
      <x:c r="E266" s="17" t="inlineStr">
        <x:is>
          <x:t xml:space="preserve">ROE</x:t>
        </x:is>
      </x:c>
      <x:c r="F266" s="18" t="n">
        <x:v>0.08</x:v>
      </x:c>
      <x:c r="G266" s="18" t="n">
        <x:v>0.18</x:v>
      </x:c>
      <x:c r="H266" s="17" t="inlineStr">
        <x:is>
          <x:t xml:space="preserve">%</x:t>
        </x:is>
      </x:c>
      <x:c r="I266" s="17" t="inlineStr">
        <x:is>
          <x:t xml:space="preserve">HIGH_GOOD</x:t>
        </x:is>
      </x:c>
      <x:c r="J266" s="15" t="inlineStr">
        <x:is>
          <x:t xml:space="preserve">https://www.ohada.org/en/ohada-accounting-law/</x:t>
        </x:is>
      </x:c>
      <x:c r="K266" s="15" t="inlineStr">
        <x:is>
          <x:t xml:space="preserve">Repères génériques. À adapter selon taille/maturité; remplacez par médianes/quartiles sectoriels si disponibles.</x:t>
        </x:is>
      </x:c>
    </x:row>
    <x:row r="267">
      <x:c r="A267" s="17" t="inlineStr">
        <x:is>
          <x:t xml:space="preserve">Zone Comptable OHADA|Industrie|ROCE</x:t>
        </x:is>
      </x:c>
      <x:c r="B267" s="17" t="inlineStr">
        <x:is>
          <x:t xml:space="preserve">Zone Comptable OHADA</x:t>
        </x:is>
      </x:c>
      <x:c r="C267" s="17" t="inlineStr">
        <x:is>
          <x:t xml:space="preserve">Industrie</x:t>
        </x:is>
      </x:c>
      <x:c r="D267" s="17" t="inlineStr">
        <x:is>
          <x:t xml:space="preserve">ROCE</x:t>
        </x:is>
      </x:c>
      <x:c r="E267" s="17" t="inlineStr">
        <x:is>
          <x:t xml:space="preserve">ROCE</x:t>
        </x:is>
      </x:c>
      <x:c r="F267" s="18" t="n">
        <x:v>0.08</x:v>
      </x:c>
      <x:c r="G267" s="18" t="n">
        <x:v>0.2</x:v>
      </x:c>
      <x:c r="H267" s="17" t="inlineStr">
        <x:is>
          <x:t xml:space="preserve">%</x:t>
        </x:is>
      </x:c>
      <x:c r="I267" s="17" t="inlineStr">
        <x:is>
          <x:t xml:space="preserve">HIGH_GOOD</x:t>
        </x:is>
      </x:c>
      <x:c r="J267" s="15" t="inlineStr">
        <x:is>
          <x:t xml:space="preserve">https://www.ohada.org/en/ohada-accounting-law/</x:t>
        </x:is>
      </x:c>
      <x:c r="K267" s="15" t="inlineStr">
        <x:is>
          <x:t xml:space="preserve">Repères génériques. À adapter selon taille/maturité; remplacez par médianes/quartiles sectoriels si disponibles.</x:t>
        </x:is>
      </x:c>
    </x:row>
    <x:row r="268">
      <x:c r="A268" s="17" t="inlineStr">
        <x:is>
          <x:t xml:space="preserve">Zone Comptable OHADA|Retail|M_GROSS</x:t>
        </x:is>
      </x:c>
      <x:c r="B268" s="17" t="inlineStr">
        <x:is>
          <x:t xml:space="preserve">Zone Comptable OHADA</x:t>
        </x:is>
      </x:c>
      <x:c r="C268" s="17" t="inlineStr">
        <x:is>
          <x:t xml:space="preserve">Retail</x:t>
        </x:is>
      </x:c>
      <x:c r="D268" s="17" t="inlineStr">
        <x:is>
          <x:t xml:space="preserve">M_GROSS</x:t>
        </x:is>
      </x:c>
      <x:c r="E268" s="17" t="inlineStr">
        <x:is>
          <x:t xml:space="preserve">Marge brute</x:t>
        </x:is>
      </x:c>
      <x:c r="F268" s="18" t="n">
        <x:v>0.2</x:v>
      </x:c>
      <x:c r="G268" s="18" t="n">
        <x:v>0.55</x:v>
      </x:c>
      <x:c r="H268" s="17" t="inlineStr">
        <x:is>
          <x:t xml:space="preserve">%</x:t>
        </x:is>
      </x:c>
      <x:c r="I268" s="17" t="inlineStr">
        <x:is>
          <x:t xml:space="preserve">HIGH_GOOD</x:t>
        </x:is>
      </x:c>
      <x:c r="J268" s="15" t="inlineStr">
        <x:is>
          <x:t xml:space="preserve">https://www.ohada.org/en/ohada-accounting-law/</x:t>
        </x:is>
      </x:c>
      <x:c r="K268" s="15" t="inlineStr">
        <x:is>
          <x:t xml:space="preserve">Repères génériques. À adapter selon taille/maturité; remplacez par médianes/quartiles sectoriels si disponibles.</x:t>
        </x:is>
      </x:c>
    </x:row>
    <x:row r="269">
      <x:c r="A269" s="17" t="inlineStr">
        <x:is>
          <x:t xml:space="preserve">Zone Comptable OHADA|Retail|M_EBITDA</x:t>
        </x:is>
      </x:c>
      <x:c r="B269" s="17" t="inlineStr">
        <x:is>
          <x:t xml:space="preserve">Zone Comptable OHADA</x:t>
        </x:is>
      </x:c>
      <x:c r="C269" s="17" t="inlineStr">
        <x:is>
          <x:t xml:space="preserve">Retail</x:t>
        </x:is>
      </x:c>
      <x:c r="D269" s="17" t="inlineStr">
        <x:is>
          <x:t xml:space="preserve">M_EBITDA</x:t>
        </x:is>
      </x:c>
      <x:c r="E269" s="17" t="inlineStr">
        <x:is>
          <x:t xml:space="preserve">Marge EBITDA</x:t>
        </x:is>
      </x:c>
      <x:c r="F269" s="18" t="n">
        <x:v>0.03</x:v>
      </x:c>
      <x:c r="G269" s="18" t="n">
        <x:v>0.1</x:v>
      </x:c>
      <x:c r="H269" s="17" t="inlineStr">
        <x:is>
          <x:t xml:space="preserve">%</x:t>
        </x:is>
      </x:c>
      <x:c r="I269" s="17" t="inlineStr">
        <x:is>
          <x:t xml:space="preserve">HIGH_GOOD</x:t>
        </x:is>
      </x:c>
      <x:c r="J269" s="15" t="inlineStr">
        <x:is>
          <x:t xml:space="preserve">https://www.ohada.org/en/ohada-accounting-law/</x:t>
        </x:is>
      </x:c>
      <x:c r="K269" s="15" t="inlineStr">
        <x:is>
          <x:t xml:space="preserve">Repères génériques. À adapter selon taille/maturité; remplacez par médianes/quartiles sectoriels si disponibles.</x:t>
        </x:is>
      </x:c>
    </x:row>
    <x:row r="270">
      <x:c r="A270" s="17" t="inlineStr">
        <x:is>
          <x:t xml:space="preserve">Zone Comptable OHADA|Retail|M_EBIT</x:t>
        </x:is>
      </x:c>
      <x:c r="B270" s="17" t="inlineStr">
        <x:is>
          <x:t xml:space="preserve">Zone Comptable OHADA</x:t>
        </x:is>
      </x:c>
      <x:c r="C270" s="17" t="inlineStr">
        <x:is>
          <x:t xml:space="preserve">Retail</x:t>
        </x:is>
      </x:c>
      <x:c r="D270" s="17" t="inlineStr">
        <x:is>
          <x:t xml:space="preserve">M_EBIT</x:t>
        </x:is>
      </x:c>
      <x:c r="E270" s="17" t="inlineStr">
        <x:is>
          <x:t xml:space="preserve">Marge EBIT</x:t>
        </x:is>
      </x:c>
      <x:c r="F270" s="18" t="n">
        <x:v>0.02</x:v>
      </x:c>
      <x:c r="G270" s="18" t="n">
        <x:v>0.08</x:v>
      </x:c>
      <x:c r="H270" s="17" t="inlineStr">
        <x:is>
          <x:t xml:space="preserve">%</x:t>
        </x:is>
      </x:c>
      <x:c r="I270" s="17" t="inlineStr">
        <x:is>
          <x:t xml:space="preserve">HIGH_GOOD</x:t>
        </x:is>
      </x:c>
      <x:c r="J270" s="15" t="inlineStr">
        <x:is>
          <x:t xml:space="preserve">https://www.ohada.org/en/ohada-accounting-law/</x:t>
        </x:is>
      </x:c>
      <x:c r="K270" s="15" t="inlineStr">
        <x:is>
          <x:t xml:space="preserve">Repères génériques. À adapter selon taille/maturité; remplacez par médianes/quartiles sectoriels si disponibles.</x:t>
        </x:is>
      </x:c>
    </x:row>
    <x:row r="271">
      <x:c r="A271" s="17" t="inlineStr">
        <x:is>
          <x:t xml:space="preserve">Zone Comptable OHADA|Retail|M_NET</x:t>
        </x:is>
      </x:c>
      <x:c r="B271" s="17" t="inlineStr">
        <x:is>
          <x:t xml:space="preserve">Zone Comptable OHADA</x:t>
        </x:is>
      </x:c>
      <x:c r="C271" s="17" t="inlineStr">
        <x:is>
          <x:t xml:space="preserve">Retail</x:t>
        </x:is>
      </x:c>
      <x:c r="D271" s="17" t="inlineStr">
        <x:is>
          <x:t xml:space="preserve">M_NET</x:t>
        </x:is>
      </x:c>
      <x:c r="E271" s="17" t="inlineStr">
        <x:is>
          <x:t xml:space="preserve">Marge nette</x:t>
        </x:is>
      </x:c>
      <x:c r="F271" s="18" t="n">
        <x:v>0.01</x:v>
      </x:c>
      <x:c r="G271" s="18" t="n">
        <x:v>0.05</x:v>
      </x:c>
      <x:c r="H271" s="17" t="inlineStr">
        <x:is>
          <x:t xml:space="preserve">%</x:t>
        </x:is>
      </x:c>
      <x:c r="I271" s="17" t="inlineStr">
        <x:is>
          <x:t xml:space="preserve">HIGH_GOOD</x:t>
        </x:is>
      </x:c>
      <x:c r="J271" s="15" t="inlineStr">
        <x:is>
          <x:t xml:space="preserve">https://www.ohada.org/en/ohada-accounting-law/</x:t>
        </x:is>
      </x:c>
      <x:c r="K271" s="15" t="inlineStr">
        <x:is>
          <x:t xml:space="preserve">Repères génériques. À adapter selon taille/maturité; remplacez par médianes/quartiles sectoriels si disponibles.</x:t>
        </x:is>
      </x:c>
    </x:row>
    <x:row r="272">
      <x:c r="A272" s="17" t="inlineStr">
        <x:is>
          <x:t xml:space="preserve">Zone Comptable OHADA|Retail|G_REV</x:t>
        </x:is>
      </x:c>
      <x:c r="B272" s="17" t="inlineStr">
        <x:is>
          <x:t xml:space="preserve">Zone Comptable OHADA</x:t>
        </x:is>
      </x:c>
      <x:c r="C272" s="17" t="inlineStr">
        <x:is>
          <x:t xml:space="preserve">Retail</x:t>
        </x:is>
      </x:c>
      <x:c r="D272" s="17" t="inlineStr">
        <x:is>
          <x:t xml:space="preserve">G_REV</x:t>
        </x:is>
      </x:c>
      <x:c r="E272" s="17" t="inlineStr">
        <x:is>
          <x:t xml:space="preserve">Croissance CA</x:t>
        </x:is>
      </x:c>
      <x:c r="F272" s="18" t="n">
        <x:v>-0.03</x:v>
      </x:c>
      <x:c r="G272" s="18" t="n">
        <x:v>0.12</x:v>
      </x:c>
      <x:c r="H272" s="17" t="inlineStr">
        <x:is>
          <x:t xml:space="preserve">%</x:t>
        </x:is>
      </x:c>
      <x:c r="I272" s="17" t="inlineStr">
        <x:is>
          <x:t xml:space="preserve">HIGH_GOOD</x:t>
        </x:is>
      </x:c>
      <x:c r="J272" s="15" t="inlineStr">
        <x:is>
          <x:t xml:space="preserve">https://www.ohada.org/en/ohada-accounting-law/</x:t>
        </x:is>
      </x:c>
      <x:c r="K272" s="15" t="inlineStr">
        <x:is>
          <x:t xml:space="preserve">Repères génériques. À adapter selon taille/maturité; remplacez par médianes/quartiles sectoriels si disponibles.</x:t>
        </x:is>
      </x:c>
    </x:row>
    <x:row r="273">
      <x:c r="A273" s="17" t="inlineStr">
        <x:is>
          <x:t xml:space="preserve">Zone Comptable OHADA|Retail|G_NI</x:t>
        </x:is>
      </x:c>
      <x:c r="B273" s="17" t="inlineStr">
        <x:is>
          <x:t xml:space="preserve">Zone Comptable OHADA</x:t>
        </x:is>
      </x:c>
      <x:c r="C273" s="17" t="inlineStr">
        <x:is>
          <x:t xml:space="preserve">Retail</x:t>
        </x:is>
      </x:c>
      <x:c r="D273" s="17" t="inlineStr">
        <x:is>
          <x:t xml:space="preserve">G_NI</x:t>
        </x:is>
      </x:c>
      <x:c r="E273" s="17" t="inlineStr">
        <x:is>
          <x:t xml:space="preserve">Croissance RN</x:t>
        </x:is>
      </x:c>
      <x:c r="F273" s="18" t="n">
        <x:v>-0.1</x:v>
      </x:c>
      <x:c r="G273" s="18" t="n">
        <x:v>0.15</x:v>
      </x:c>
      <x:c r="H273" s="17" t="inlineStr">
        <x:is>
          <x:t xml:space="preserve">%</x:t>
        </x:is>
      </x:c>
      <x:c r="I273" s="17" t="inlineStr">
        <x:is>
          <x:t xml:space="preserve">HIGH_GOOD</x:t>
        </x:is>
      </x:c>
      <x:c r="J273" s="15" t="inlineStr">
        <x:is>
          <x:t xml:space="preserve">https://www.ohada.org/en/ohada-accounting-law/</x:t>
        </x:is>
      </x:c>
      <x:c r="K273" s="15" t="inlineStr">
        <x:is>
          <x:t xml:space="preserve">Repères génériques. À adapter selon taille/maturité; remplacez par médianes/quartiles sectoriels si disponibles.</x:t>
        </x:is>
      </x:c>
    </x:row>
    <x:row r="274">
      <x:c r="A274" s="17" t="inlineStr">
        <x:is>
          <x:t xml:space="preserve">Zone Comptable OHADA|Retail|D_INV</x:t>
        </x:is>
      </x:c>
      <x:c r="B274" s="17" t="inlineStr">
        <x:is>
          <x:t xml:space="preserve">Zone Comptable OHADA</x:t>
        </x:is>
      </x:c>
      <x:c r="C274" s="17" t="inlineStr">
        <x:is>
          <x:t xml:space="preserve">Retail</x:t>
        </x:is>
      </x:c>
      <x:c r="D274" s="17" t="inlineStr">
        <x:is>
          <x:t xml:space="preserve">D_INV</x:t>
        </x:is>
      </x:c>
      <x:c r="E274" s="17" t="inlineStr">
        <x:is>
          <x:t xml:space="preserve">Jours de stocks</x:t>
        </x:is>
      </x:c>
      <x:c r="F274" s="26" t="n">
        <x:v>20</x:v>
      </x:c>
      <x:c r="G274" s="26" t="n">
        <x:v>70</x:v>
      </x:c>
      <x:c r="H274" s="17" t="inlineStr">
        <x:is>
          <x:t xml:space="preserve">jours</x:t>
        </x:is>
      </x:c>
      <x:c r="I274" s="17" t="inlineStr">
        <x:is>
          <x:t xml:space="preserve">LOW_GOOD</x:t>
        </x:is>
      </x:c>
      <x:c r="J274" s="15" t="inlineStr">
        <x:is>
          <x:t xml:space="preserve">https://www.ohada.org/en/ohada-accounting-law/</x:t>
        </x:is>
      </x:c>
      <x:c r="K274" s="15" t="inlineStr">
        <x:is>
          <x:t xml:space="preserve">Repères génériques. À adapter selon taille/maturité; remplacez par médianes/quartiles sectoriels si disponibles.</x:t>
        </x:is>
      </x:c>
    </x:row>
    <x:row r="275">
      <x:c r="A275" s="17" t="inlineStr">
        <x:is>
          <x:t xml:space="preserve">Zone Comptable OHADA|Retail|DSO</x:t>
        </x:is>
      </x:c>
      <x:c r="B275" s="17" t="inlineStr">
        <x:is>
          <x:t xml:space="preserve">Zone Comptable OHADA</x:t>
        </x:is>
      </x:c>
      <x:c r="C275" s="17" t="inlineStr">
        <x:is>
          <x:t xml:space="preserve">Retail</x:t>
        </x:is>
      </x:c>
      <x:c r="D275" s="17" t="inlineStr">
        <x:is>
          <x:t xml:space="preserve">DSO</x:t>
        </x:is>
      </x:c>
      <x:c r="E275" s="17" t="inlineStr">
        <x:is>
          <x:t xml:space="preserve">DSO (jours clients)</x:t>
        </x:is>
      </x:c>
      <x:c r="F275" s="26" t="n">
        <x:v>10</x:v>
      </x:c>
      <x:c r="G275" s="26" t="n">
        <x:v>45</x:v>
      </x:c>
      <x:c r="H275" s="17" t="inlineStr">
        <x:is>
          <x:t xml:space="preserve">jours</x:t>
        </x:is>
      </x:c>
      <x:c r="I275" s="17" t="inlineStr">
        <x:is>
          <x:t xml:space="preserve">LOW_GOOD</x:t>
        </x:is>
      </x:c>
      <x:c r="J275" s="15" t="inlineStr">
        <x:is>
          <x:t xml:space="preserve">https://www.ohada.org/en/ohada-accounting-law/</x:t>
        </x:is>
      </x:c>
      <x:c r="K275" s="15" t="inlineStr">
        <x:is>
          <x:t xml:space="preserve">Repère prudente. À calibrer avec comparables locaux.</x:t>
        </x:is>
      </x:c>
    </x:row>
    <x:row r="276">
      <x:c r="A276" s="17" t="inlineStr">
        <x:is>
          <x:t xml:space="preserve">Zone Comptable OHADA|Retail|DPO</x:t>
        </x:is>
      </x:c>
      <x:c r="B276" s="17" t="inlineStr">
        <x:is>
          <x:t xml:space="preserve">Zone Comptable OHADA</x:t>
        </x:is>
      </x:c>
      <x:c r="C276" s="17" t="inlineStr">
        <x:is>
          <x:t xml:space="preserve">Retail</x:t>
        </x:is>
      </x:c>
      <x:c r="D276" s="17" t="inlineStr">
        <x:is>
          <x:t xml:space="preserve">DPO</x:t>
        </x:is>
      </x:c>
      <x:c r="E276" s="17" t="inlineStr">
        <x:is>
          <x:t xml:space="preserve">DPO (jours fournisseurs)</x:t>
        </x:is>
      </x:c>
      <x:c r="F276" s="26" t="n">
        <x:v>45</x:v>
      </x:c>
      <x:c r="G276" s="26" t="n">
        <x:v>120</x:v>
      </x:c>
      <x:c r="H276" s="17" t="inlineStr">
        <x:is>
          <x:t xml:space="preserve">jours</x:t>
        </x:is>
      </x:c>
      <x:c r="I276" s="17" t="inlineStr">
        <x:is>
          <x:t xml:space="preserve">RANGE</x:t>
        </x:is>
      </x:c>
      <x:c r="J276" s="15" t="inlineStr">
        <x:is>
          <x:t xml:space="preserve">https://www.ohada.org/en/ohada-accounting-law/</x:t>
        </x:is>
      </x:c>
      <x:c r="K276" s="15" t="inlineStr">
        <x:is>
          <x:t xml:space="preserve">Repères génériques. À adapter selon taille/maturité; remplacez par médianes/quartiles sectoriels si disponibles.</x:t>
        </x:is>
      </x:c>
    </x:row>
    <x:row r="277">
      <x:c r="A277" s="17" t="inlineStr">
        <x:is>
          <x:t xml:space="preserve">Zone Comptable OHADA|Retail|CCC</x:t>
        </x:is>
      </x:c>
      <x:c r="B277" s="17" t="inlineStr">
        <x:is>
          <x:t xml:space="preserve">Zone Comptable OHADA</x:t>
        </x:is>
      </x:c>
      <x:c r="C277" s="17" t="inlineStr">
        <x:is>
          <x:t xml:space="preserve">Retail</x:t>
        </x:is>
      </x:c>
      <x:c r="D277" s="17" t="inlineStr">
        <x:is>
          <x:t xml:space="preserve">CCC</x:t>
        </x:is>
      </x:c>
      <x:c r="E277" s="17" t="inlineStr">
        <x:is>
          <x:t xml:space="preserve">Cycle de conversion cash (jours)</x:t>
        </x:is>
      </x:c>
      <x:c r="F277" s="26" t="n">
        <x:v>-30</x:v>
      </x:c>
      <x:c r="G277" s="26" t="n">
        <x:v>30</x:v>
      </x:c>
      <x:c r="H277" s="17" t="inlineStr">
        <x:is>
          <x:t xml:space="preserve">jours</x:t>
        </x:is>
      </x:c>
      <x:c r="I277" s="17" t="inlineStr">
        <x:is>
          <x:t xml:space="preserve">LOW_GOOD</x:t>
        </x:is>
      </x:c>
      <x:c r="J277" s="15" t="inlineStr">
        <x:is>
          <x:t xml:space="preserve">https://www.ohada.org/en/ohada-accounting-law/</x:t>
        </x:is>
      </x:c>
      <x:c r="K277" s="15" t="inlineStr">
        <x:is>
          <x:t xml:space="preserve">Repère prudente. À calibrer avec comparables locaux.</x:t>
        </x:is>
      </x:c>
    </x:row>
    <x:row r="278">
      <x:c r="A278" s="17" t="inlineStr">
        <x:is>
          <x:t xml:space="preserve">Zone Comptable OHADA|Retail|BFR_REV</x:t>
        </x:is>
      </x:c>
      <x:c r="B278" s="17" t="inlineStr">
        <x:is>
          <x:t xml:space="preserve">Zone Comptable OHADA</x:t>
        </x:is>
      </x:c>
      <x:c r="C278" s="17" t="inlineStr">
        <x:is>
          <x:t xml:space="preserve">Retail</x:t>
        </x:is>
      </x:c>
      <x:c r="D278" s="17" t="inlineStr">
        <x:is>
          <x:t xml:space="preserve">BFR_REV</x:t>
        </x:is>
      </x:c>
      <x:c r="E278" s="17" t="inlineStr">
        <x:is>
          <x:t xml:space="preserve">BFR / CA</x:t>
        </x:is>
      </x:c>
      <x:c r="F278" s="18" t="n">
        <x:v>-0.15</x:v>
      </x:c>
      <x:c r="G278" s="18" t="n">
        <x:v>0.1</x:v>
      </x:c>
      <x:c r="H278" s="17" t="inlineStr">
        <x:is>
          <x:t xml:space="preserve">%</x:t>
        </x:is>
      </x:c>
      <x:c r="I278" s="17" t="inlineStr">
        <x:is>
          <x:t xml:space="preserve">RANGE</x:t>
        </x:is>
      </x:c>
      <x:c r="J278" s="15" t="inlineStr">
        <x:is>
          <x:t xml:space="preserve">https://www.ohada.org/en/ohada-accounting-law/</x:t>
        </x:is>
      </x:c>
      <x:c r="K278" s="15" t="inlineStr">
        <x:is>
          <x:t xml:space="preserve">Repères génériques. À adapter selon taille/maturité; remplacez par médianes/quartiles sectoriels si disponibles.</x:t>
        </x:is>
      </x:c>
    </x:row>
    <x:row r="279">
      <x:c r="A279" s="17" t="inlineStr">
        <x:is>
          <x:t xml:space="preserve">Zone Comptable OHADA|Retail|EQ_RATIO</x:t>
        </x:is>
      </x:c>
      <x:c r="B279" s="17" t="inlineStr">
        <x:is>
          <x:t xml:space="preserve">Zone Comptable OHADA</x:t>
        </x:is>
      </x:c>
      <x:c r="C279" s="17" t="inlineStr">
        <x:is>
          <x:t xml:space="preserve">Retail</x:t>
        </x:is>
      </x:c>
      <x:c r="D279" s="17" t="inlineStr">
        <x:is>
          <x:t xml:space="preserve">EQ_RATIO</x:t>
        </x:is>
      </x:c>
      <x:c r="E279" s="17" t="inlineStr">
        <x:is>
          <x:t xml:space="preserve">Autonomie financière (CP/Total bilan)</x:t>
        </x:is>
      </x:c>
      <x:c r="F279" s="18" t="n">
        <x:v>0.25</x:v>
      </x:c>
      <x:c r="G279" s="18" t="n">
        <x:v>0.55</x:v>
      </x:c>
      <x:c r="H279" s="17" t="inlineStr">
        <x:is>
          <x:t xml:space="preserve">%</x:t>
        </x:is>
      </x:c>
      <x:c r="I279" s="17" t="inlineStr">
        <x:is>
          <x:t xml:space="preserve">HIGH_GOOD</x:t>
        </x:is>
      </x:c>
      <x:c r="J279" s="15" t="inlineStr">
        <x:is>
          <x:t xml:space="preserve">https://www.ohada.org/en/ohada-accounting-law/</x:t>
        </x:is>
      </x:c>
      <x:c r="K279" s="15" t="inlineStr">
        <x:is>
          <x:t xml:space="preserve">Repères génériques. À adapter selon taille/maturité; remplacez par médianes/quartiles sectoriels si disponibles.</x:t>
        </x:is>
      </x:c>
    </x:row>
    <x:row r="280">
      <x:c r="A280" s="17" t="inlineStr">
        <x:is>
          <x:t xml:space="preserve">Zone Comptable OHADA|Retail|GEARING</x:t>
        </x:is>
      </x:c>
      <x:c r="B280" s="17" t="inlineStr">
        <x:is>
          <x:t xml:space="preserve">Zone Comptable OHADA</x:t>
        </x:is>
      </x:c>
      <x:c r="C280" s="17" t="inlineStr">
        <x:is>
          <x:t xml:space="preserve">Retail</x:t>
        </x:is>
      </x:c>
      <x:c r="D280" s="17" t="inlineStr">
        <x:is>
          <x:t xml:space="preserve">GEARING</x:t>
        </x:is>
      </x:c>
      <x:c r="E280" s="17" t="inlineStr">
        <x:is>
          <x:t xml:space="preserve">Gearing (Dette nette/CP)</x:t>
        </x:is>
      </x:c>
      <x:c r="F280" s="20" t="n">
        <x:v>0</x:v>
      </x:c>
      <x:c r="G280" s="20" t="n">
        <x:v>1.2</x:v>
      </x:c>
      <x:c r="H280" s="17" t="inlineStr">
        <x:is>
          <x:t xml:space="preserve">x</x:t>
        </x:is>
      </x:c>
      <x:c r="I280" s="17" t="inlineStr">
        <x:is>
          <x:t xml:space="preserve">LOW_GOOD</x:t>
        </x:is>
      </x:c>
      <x:c r="J280" s="15" t="inlineStr">
        <x:is>
          <x:t xml:space="preserve">https://www.ohada.org/en/ohada-accounting-law/</x:t>
        </x:is>
      </x:c>
      <x:c r="K280" s="15" t="inlineStr">
        <x:is>
          <x:t xml:space="preserve">Repères génériques. À adapter selon taille/maturité; remplacez par médianes/quartiles sectoriels si disponibles.</x:t>
        </x:is>
      </x:c>
    </x:row>
    <x:row r="281">
      <x:c r="A281" s="17" t="inlineStr">
        <x:is>
          <x:t xml:space="preserve">Zone Comptable OHADA|Retail|CURR</x:t>
        </x:is>
      </x:c>
      <x:c r="B281" s="17" t="inlineStr">
        <x:is>
          <x:t xml:space="preserve">Zone Comptable OHADA</x:t>
        </x:is>
      </x:c>
      <x:c r="C281" s="17" t="inlineStr">
        <x:is>
          <x:t xml:space="preserve">Retail</x:t>
        </x:is>
      </x:c>
      <x:c r="D281" s="17" t="inlineStr">
        <x:is>
          <x:t xml:space="preserve">CURR</x:t>
        </x:is>
      </x:c>
      <x:c r="E281" s="17" t="inlineStr">
        <x:is>
          <x:t xml:space="preserve">Current ratio</x:t>
        </x:is>
      </x:c>
      <x:c r="F281" s="20" t="n">
        <x:v>1.1</x:v>
      </x:c>
      <x:c r="G281" s="20" t="n">
        <x:v>2</x:v>
      </x:c>
      <x:c r="H281" s="17" t="inlineStr">
        <x:is>
          <x:t xml:space="preserve">x</x:t>
        </x:is>
      </x:c>
      <x:c r="I281" s="17" t="inlineStr">
        <x:is>
          <x:t xml:space="preserve">RANGE</x:t>
        </x:is>
      </x:c>
      <x:c r="J281" s="15" t="inlineStr">
        <x:is>
          <x:t xml:space="preserve">https://www.ohada.org/en/ohada-accounting-law/</x:t>
        </x:is>
      </x:c>
      <x:c r="K281" s="15" t="inlineStr">
        <x:is>
          <x:t xml:space="preserve">Repères génériques. À adapter selon taille/maturité; remplacez par médianes/quartiles sectoriels si disponibles.</x:t>
        </x:is>
      </x:c>
    </x:row>
    <x:row r="282">
      <x:c r="A282" s="17" t="inlineStr">
        <x:is>
          <x:t xml:space="preserve">Zone Comptable OHADA|Retail|QUICK</x:t>
        </x:is>
      </x:c>
      <x:c r="B282" s="17" t="inlineStr">
        <x:is>
          <x:t xml:space="preserve">Zone Comptable OHADA</x:t>
        </x:is>
      </x:c>
      <x:c r="C282" s="17" t="inlineStr">
        <x:is>
          <x:t xml:space="preserve">Retail</x:t>
        </x:is>
      </x:c>
      <x:c r="D282" s="17" t="inlineStr">
        <x:is>
          <x:t xml:space="preserve">QUICK</x:t>
        </x:is>
      </x:c>
      <x:c r="E282" s="17" t="inlineStr">
        <x:is>
          <x:t xml:space="preserve">Quick ratio</x:t>
        </x:is>
      </x:c>
      <x:c r="F282" s="20" t="n">
        <x:v>0.7</x:v>
      </x:c>
      <x:c r="G282" s="20" t="n">
        <x:v>1.4</x:v>
      </x:c>
      <x:c r="H282" s="17" t="inlineStr">
        <x:is>
          <x:t xml:space="preserve">x</x:t>
        </x:is>
      </x:c>
      <x:c r="I282" s="17" t="inlineStr">
        <x:is>
          <x:t xml:space="preserve">RANGE</x:t>
        </x:is>
      </x:c>
      <x:c r="J282" s="15" t="inlineStr">
        <x:is>
          <x:t xml:space="preserve">https://www.ohada.org/en/ohada-accounting-law/</x:t>
        </x:is>
      </x:c>
      <x:c r="K282" s="15" t="inlineStr">
        <x:is>
          <x:t xml:space="preserve">Repères génériques. À adapter selon taille/maturité; remplacez par médianes/quartiles sectoriels si disponibles.</x:t>
        </x:is>
      </x:c>
    </x:row>
    <x:row r="283">
      <x:c r="A283" s="17" t="inlineStr">
        <x:is>
          <x:t xml:space="preserve">Zone Comptable OHADA|Retail|CASHR</x:t>
        </x:is>
      </x:c>
      <x:c r="B283" s="17" t="inlineStr">
        <x:is>
          <x:t xml:space="preserve">Zone Comptable OHADA</x:t>
        </x:is>
      </x:c>
      <x:c r="C283" s="17" t="inlineStr">
        <x:is>
          <x:t xml:space="preserve">Retail</x:t>
        </x:is>
      </x:c>
      <x:c r="D283" s="17" t="inlineStr">
        <x:is>
          <x:t xml:space="preserve">CASHR</x:t>
        </x:is>
      </x:c>
      <x:c r="E283" s="17" t="inlineStr">
        <x:is>
          <x:t xml:space="preserve">Cash ratio</x:t>
        </x:is>
      </x:c>
      <x:c r="F283" s="20" t="n">
        <x:v>0.1</x:v>
      </x:c>
      <x:c r="G283" s="20" t="n">
        <x:v>0.6</x:v>
      </x:c>
      <x:c r="H283" s="17" t="inlineStr">
        <x:is>
          <x:t xml:space="preserve">x</x:t>
        </x:is>
      </x:c>
      <x:c r="I283" s="17" t="inlineStr">
        <x:is>
          <x:t xml:space="preserve">RANGE</x:t>
        </x:is>
      </x:c>
      <x:c r="J283" s="15" t="inlineStr">
        <x:is>
          <x:t xml:space="preserve">https://www.ohada.org/en/ohada-accounting-law/</x:t>
        </x:is>
      </x:c>
      <x:c r="K283" s="15" t="inlineStr">
        <x:is>
          <x:t xml:space="preserve">Repères génériques. À adapter selon taille/maturité; remplacez par médianes/quartiles sectoriels si disponibles.</x:t>
        </x:is>
      </x:c>
    </x:row>
    <x:row r="284">
      <x:c r="A284" s="17" t="inlineStr">
        <x:is>
          <x:t xml:space="preserve">Zone Comptable OHADA|Retail|ND_EBITDA</x:t>
        </x:is>
      </x:c>
      <x:c r="B284" s="17" t="inlineStr">
        <x:is>
          <x:t xml:space="preserve">Zone Comptable OHADA</x:t>
        </x:is>
      </x:c>
      <x:c r="C284" s="17" t="inlineStr">
        <x:is>
          <x:t xml:space="preserve">Retail</x:t>
        </x:is>
      </x:c>
      <x:c r="D284" s="17" t="inlineStr">
        <x:is>
          <x:t xml:space="preserve">ND_EBITDA</x:t>
        </x:is>
      </x:c>
      <x:c r="E284" s="17" t="inlineStr">
        <x:is>
          <x:t xml:space="preserve">Dette nette / EBITDA</x:t>
        </x:is>
      </x:c>
      <x:c r="F284" s="20" t="n">
        <x:v>0</x:v>
      </x:c>
      <x:c r="G284" s="20" t="n">
        <x:v>3.5</x:v>
      </x:c>
      <x:c r="H284" s="17" t="inlineStr">
        <x:is>
          <x:t xml:space="preserve">x</x:t>
        </x:is>
      </x:c>
      <x:c r="I284" s="17" t="inlineStr">
        <x:is>
          <x:t xml:space="preserve">LOW_GOOD</x:t>
        </x:is>
      </x:c>
      <x:c r="J284" s="15" t="inlineStr">
        <x:is>
          <x:t xml:space="preserve">https://www.ohada.org/en/ohada-accounting-law/</x:t>
        </x:is>
      </x:c>
      <x:c r="K284" s="15" t="inlineStr">
        <x:is>
          <x:t xml:space="preserve">Repères génériques. À adapter selon taille/maturité; remplacez par médianes/quartiles sectoriels si disponibles.</x:t>
        </x:is>
      </x:c>
    </x:row>
    <x:row r="285">
      <x:c r="A285" s="17" t="inlineStr">
        <x:is>
          <x:t xml:space="preserve">Zone Comptable OHADA|Retail|D_E</x:t>
        </x:is>
      </x:c>
      <x:c r="B285" s="17" t="inlineStr">
        <x:is>
          <x:t xml:space="preserve">Zone Comptable OHADA</x:t>
        </x:is>
      </x:c>
      <x:c r="C285" s="17" t="inlineStr">
        <x:is>
          <x:t xml:space="preserve">Retail</x:t>
        </x:is>
      </x:c>
      <x:c r="D285" s="17" t="inlineStr">
        <x:is>
          <x:t xml:space="preserve">D_E</x:t>
        </x:is>
      </x:c>
      <x:c r="E285" s="17" t="inlineStr">
        <x:is>
          <x:t xml:space="preserve">Dette / CP</x:t>
        </x:is>
      </x:c>
      <x:c r="F285" s="20" t="n">
        <x:v>0</x:v>
      </x:c>
      <x:c r="G285" s="20" t="n">
        <x:v>2</x:v>
      </x:c>
      <x:c r="H285" s="17" t="inlineStr">
        <x:is>
          <x:t xml:space="preserve">x</x:t>
        </x:is>
      </x:c>
      <x:c r="I285" s="17" t="inlineStr">
        <x:is>
          <x:t xml:space="preserve">LOW_GOOD</x:t>
        </x:is>
      </x:c>
      <x:c r="J285" s="15" t="inlineStr">
        <x:is>
          <x:t xml:space="preserve">https://www.ohada.org/en/ohada-accounting-law/</x:t>
        </x:is>
      </x:c>
      <x:c r="K285" s="15" t="inlineStr">
        <x:is>
          <x:t xml:space="preserve">Repères génériques. À adapter selon taille/maturité; remplacez par médianes/quartiles sectoriels si disponibles.</x:t>
        </x:is>
      </x:c>
    </x:row>
    <x:row r="286">
      <x:c r="A286" s="17" t="inlineStr">
        <x:is>
          <x:t xml:space="preserve">Zone Comptable OHADA|Retail|ICR</x:t>
        </x:is>
      </x:c>
      <x:c r="B286" s="17" t="inlineStr">
        <x:is>
          <x:t xml:space="preserve">Zone Comptable OHADA</x:t>
        </x:is>
      </x:c>
      <x:c r="C286" s="17" t="inlineStr">
        <x:is>
          <x:t xml:space="preserve">Retail</x:t>
        </x:is>
      </x:c>
      <x:c r="D286" s="17" t="inlineStr">
        <x:is>
          <x:t xml:space="preserve">ICR</x:t>
        </x:is>
      </x:c>
      <x:c r="E286" s="17" t="inlineStr">
        <x:is>
          <x:t xml:space="preserve">Couverture intérêts (EBIT/Intérêts)</x:t>
        </x:is>
      </x:c>
      <x:c r="F286" s="20" t="n">
        <x:v>2.5</x:v>
      </x:c>
      <x:c r="G286" s="20" t="n">
        <x:v>10</x:v>
      </x:c>
      <x:c r="H286" s="17" t="inlineStr">
        <x:is>
          <x:t xml:space="preserve">x</x:t>
        </x:is>
      </x:c>
      <x:c r="I286" s="17" t="inlineStr">
        <x:is>
          <x:t xml:space="preserve">HIGH_GOOD</x:t>
        </x:is>
      </x:c>
      <x:c r="J286" s="15" t="inlineStr">
        <x:is>
          <x:t xml:space="preserve">https://www.ohada.org/en/ohada-accounting-law/</x:t>
        </x:is>
      </x:c>
      <x:c r="K286" s="15" t="inlineStr">
        <x:is>
          <x:t xml:space="preserve">Repères génériques. À adapter selon taille/maturité; remplacez par médianes/quartiles sectoriels si disponibles.</x:t>
        </x:is>
      </x:c>
    </x:row>
    <x:row r="287">
      <x:c r="A287" s="17" t="inlineStr">
        <x:is>
          <x:t xml:space="preserve">Zone Comptable OHADA|Retail|DSCR</x:t>
        </x:is>
      </x:c>
      <x:c r="B287" s="17" t="inlineStr">
        <x:is>
          <x:t xml:space="preserve">Zone Comptable OHADA</x:t>
        </x:is>
      </x:c>
      <x:c r="C287" s="17" t="inlineStr">
        <x:is>
          <x:t xml:space="preserve">Retail</x:t>
        </x:is>
      </x:c>
      <x:c r="D287" s="17" t="inlineStr">
        <x:is>
          <x:t xml:space="preserve">DSCR</x:t>
        </x:is>
      </x:c>
      <x:c r="E287" s="17" t="inlineStr">
        <x:is>
          <x:t xml:space="preserve">DSCR</x:t>
        </x:is>
      </x:c>
      <x:c r="F287" s="20" t="n">
        <x:v>1.1</x:v>
      </x:c>
      <x:c r="G287" s="20" t="n">
        <x:v>2.5</x:v>
      </x:c>
      <x:c r="H287" s="17" t="inlineStr">
        <x:is>
          <x:t xml:space="preserve">x</x:t>
        </x:is>
      </x:c>
      <x:c r="I287" s="17" t="inlineStr">
        <x:is>
          <x:t xml:space="preserve">HIGH_GOOD</x:t>
        </x:is>
      </x:c>
      <x:c r="J287" s="15" t="inlineStr">
        <x:is>
          <x:t xml:space="preserve">https://www.ohada.org/en/ohada-accounting-law/</x:t>
        </x:is>
      </x:c>
      <x:c r="K287" s="15" t="inlineStr">
        <x:is>
          <x:t xml:space="preserve">Repères génériques. À adapter selon taille/maturité; remplacez par médianes/quartiles sectoriels si disponibles.</x:t>
        </x:is>
      </x:c>
    </x:row>
    <x:row r="288">
      <x:c r="A288" s="17" t="inlineStr">
        <x:is>
          <x:t xml:space="preserve">Zone Comptable OHADA|Retail|CFO_NI</x:t>
        </x:is>
      </x:c>
      <x:c r="B288" s="17" t="inlineStr">
        <x:is>
          <x:t xml:space="preserve">Zone Comptable OHADA</x:t>
        </x:is>
      </x:c>
      <x:c r="C288" s="17" t="inlineStr">
        <x:is>
          <x:t xml:space="preserve">Retail</x:t>
        </x:is>
      </x:c>
      <x:c r="D288" s="17" t="inlineStr">
        <x:is>
          <x:t xml:space="preserve">CFO_NI</x:t>
        </x:is>
      </x:c>
      <x:c r="E288" s="17" t="inlineStr">
        <x:is>
          <x:t xml:space="preserve">CFO / RN</x:t>
        </x:is>
      </x:c>
      <x:c r="F288" s="20" t="n">
        <x:v>0.9</x:v>
      </x:c>
      <x:c r="G288" s="20" t="n">
        <x:v>1.6</x:v>
      </x:c>
      <x:c r="H288" s="17" t="inlineStr">
        <x:is>
          <x:t xml:space="preserve">x</x:t>
        </x:is>
      </x:c>
      <x:c r="I288" s="17" t="inlineStr">
        <x:is>
          <x:t xml:space="preserve">HIGH_GOOD</x:t>
        </x:is>
      </x:c>
      <x:c r="J288" s="15" t="inlineStr">
        <x:is>
          <x:t xml:space="preserve">https://www.ohada.org/en/ohada-accounting-law/</x:t>
        </x:is>
      </x:c>
      <x:c r="K288" s="15" t="inlineStr">
        <x:is>
          <x:t xml:space="preserve">Repères génériques. À adapter selon taille/maturité; remplacez par médianes/quartiles sectoriels si disponibles.</x:t>
        </x:is>
      </x:c>
    </x:row>
    <x:row r="289">
      <x:c r="A289" s="17" t="inlineStr">
        <x:is>
          <x:t xml:space="preserve">Zone Comptable OHADA|Retail|ROA</x:t>
        </x:is>
      </x:c>
      <x:c r="B289" s="17" t="inlineStr">
        <x:is>
          <x:t xml:space="preserve">Zone Comptable OHADA</x:t>
        </x:is>
      </x:c>
      <x:c r="C289" s="17" t="inlineStr">
        <x:is>
          <x:t xml:space="preserve">Retail</x:t>
        </x:is>
      </x:c>
      <x:c r="D289" s="17" t="inlineStr">
        <x:is>
          <x:t xml:space="preserve">ROA</x:t>
        </x:is>
      </x:c>
      <x:c r="E289" s="17" t="inlineStr">
        <x:is>
          <x:t xml:space="preserve">ROA</x:t>
        </x:is>
      </x:c>
      <x:c r="F289" s="18" t="n">
        <x:v>0.02</x:v>
      </x:c>
      <x:c r="G289" s="18" t="n">
        <x:v>0.08</x:v>
      </x:c>
      <x:c r="H289" s="17" t="inlineStr">
        <x:is>
          <x:t xml:space="preserve">%</x:t>
        </x:is>
      </x:c>
      <x:c r="I289" s="17" t="inlineStr">
        <x:is>
          <x:t xml:space="preserve">HIGH_GOOD</x:t>
        </x:is>
      </x:c>
      <x:c r="J289" s="15" t="inlineStr">
        <x:is>
          <x:t xml:space="preserve">https://www.ohada.org/en/ohada-accounting-law/</x:t>
        </x:is>
      </x:c>
      <x:c r="K289" s="15" t="inlineStr">
        <x:is>
          <x:t xml:space="preserve">Repères génériques. À adapter selon taille/maturité; remplacez par médianes/quartiles sectoriels si disponibles.</x:t>
        </x:is>
      </x:c>
    </x:row>
    <x:row r="290">
      <x:c r="A290" s="17" t="inlineStr">
        <x:is>
          <x:t xml:space="preserve">Zone Comptable OHADA|Retail|ROE</x:t>
        </x:is>
      </x:c>
      <x:c r="B290" s="17" t="inlineStr">
        <x:is>
          <x:t xml:space="preserve">Zone Comptable OHADA</x:t>
        </x:is>
      </x:c>
      <x:c r="C290" s="17" t="inlineStr">
        <x:is>
          <x:t xml:space="preserve">Retail</x:t>
        </x:is>
      </x:c>
      <x:c r="D290" s="17" t="inlineStr">
        <x:is>
          <x:t xml:space="preserve">ROE</x:t>
        </x:is>
      </x:c>
      <x:c r="E290" s="17" t="inlineStr">
        <x:is>
          <x:t xml:space="preserve">ROE</x:t>
        </x:is>
      </x:c>
      <x:c r="F290" s="18" t="n">
        <x:v>0.08</x:v>
      </x:c>
      <x:c r="G290" s="18" t="n">
        <x:v>0.2</x:v>
      </x:c>
      <x:c r="H290" s="17" t="inlineStr">
        <x:is>
          <x:t xml:space="preserve">%</x:t>
        </x:is>
      </x:c>
      <x:c r="I290" s="17" t="inlineStr">
        <x:is>
          <x:t xml:space="preserve">HIGH_GOOD</x:t>
        </x:is>
      </x:c>
      <x:c r="J290" s="15" t="inlineStr">
        <x:is>
          <x:t xml:space="preserve">https://www.ohada.org/en/ohada-accounting-law/</x:t>
        </x:is>
      </x:c>
      <x:c r="K290" s="15" t="inlineStr">
        <x:is>
          <x:t xml:space="preserve">Repères génériques. À adapter selon taille/maturité; remplacez par médianes/quartiles sectoriels si disponibles.</x:t>
        </x:is>
      </x:c>
    </x:row>
    <x:row r="291">
      <x:c r="A291" s="17" t="inlineStr">
        <x:is>
          <x:t xml:space="preserve">Zone Comptable OHADA|Retail|ROCE</x:t>
        </x:is>
      </x:c>
      <x:c r="B291" s="17" t="inlineStr">
        <x:is>
          <x:t xml:space="preserve">Zone Comptable OHADA</x:t>
        </x:is>
      </x:c>
      <x:c r="C291" s="17" t="inlineStr">
        <x:is>
          <x:t xml:space="preserve">Retail</x:t>
        </x:is>
      </x:c>
      <x:c r="D291" s="17" t="inlineStr">
        <x:is>
          <x:t xml:space="preserve">ROCE</x:t>
        </x:is>
      </x:c>
      <x:c r="E291" s="17" t="inlineStr">
        <x:is>
          <x:t xml:space="preserve">ROCE</x:t>
        </x:is>
      </x:c>
      <x:c r="F291" s="18" t="n">
        <x:v>0.08</x:v>
      </x:c>
      <x:c r="G291" s="18" t="n">
        <x:v>0.25</x:v>
      </x:c>
      <x:c r="H291" s="17" t="inlineStr">
        <x:is>
          <x:t xml:space="preserve">%</x:t>
        </x:is>
      </x:c>
      <x:c r="I291" s="17" t="inlineStr">
        <x:is>
          <x:t xml:space="preserve">HIGH_GOOD</x:t>
        </x:is>
      </x:c>
      <x:c r="J291" s="15" t="inlineStr">
        <x:is>
          <x:t xml:space="preserve">https://www.ohada.org/en/ohada-accounting-law/</x:t>
        </x:is>
      </x:c>
      <x:c r="K291" s="15" t="inlineStr">
        <x:is>
          <x:t xml:space="preserve">Repères génériques. À adapter selon taille/maturité; remplacez par médianes/quartiles sectoriels si disponibles.</x:t>
        </x:is>
      </x:c>
    </x:row>
    <x:row r="292">
      <x:c r="A292" s="17" t="inlineStr">
        <x:is>
          <x:t xml:space="preserve">Zone Comptable OHADA|Services|M_GROSS</x:t>
        </x:is>
      </x:c>
      <x:c r="B292" s="17" t="inlineStr">
        <x:is>
          <x:t xml:space="preserve">Zone Comptable OHADA</x:t>
        </x:is>
      </x:c>
      <x:c r="C292" s="17" t="inlineStr">
        <x:is>
          <x:t xml:space="preserve">Services</x:t>
        </x:is>
      </x:c>
      <x:c r="D292" s="17" t="inlineStr">
        <x:is>
          <x:t xml:space="preserve">M_GROSS</x:t>
        </x:is>
      </x:c>
      <x:c r="E292" s="17" t="inlineStr">
        <x:is>
          <x:t xml:space="preserve">Marge brute</x:t>
        </x:is>
      </x:c>
      <x:c r="F292" s="18" t="n">
        <x:v>0.35</x:v>
      </x:c>
      <x:c r="G292" s="18" t="n">
        <x:v>0.7</x:v>
      </x:c>
      <x:c r="H292" s="17" t="inlineStr">
        <x:is>
          <x:t xml:space="preserve">%</x:t>
        </x:is>
      </x:c>
      <x:c r="I292" s="17" t="inlineStr">
        <x:is>
          <x:t xml:space="preserve">HIGH_GOOD</x:t>
        </x:is>
      </x:c>
      <x:c r="J292" s="15" t="inlineStr">
        <x:is>
          <x:t xml:space="preserve">https://www.ohada.org/en/ohada-accounting-law/</x:t>
        </x:is>
      </x:c>
      <x:c r="K292" s="15" t="inlineStr">
        <x:is>
          <x:t xml:space="preserve">Repères génériques. À adapter selon taille/maturité; remplacez par médianes/quartiles sectoriels si disponibles.</x:t>
        </x:is>
      </x:c>
    </x:row>
    <x:row r="293">
      <x:c r="A293" s="17" t="inlineStr">
        <x:is>
          <x:t xml:space="preserve">Zone Comptable OHADA|Services|M_EBITDA</x:t>
        </x:is>
      </x:c>
      <x:c r="B293" s="17" t="inlineStr">
        <x:is>
          <x:t xml:space="preserve">Zone Comptable OHADA</x:t>
        </x:is>
      </x:c>
      <x:c r="C293" s="17" t="inlineStr">
        <x:is>
          <x:t xml:space="preserve">Services</x:t>
        </x:is>
      </x:c>
      <x:c r="D293" s="17" t="inlineStr">
        <x:is>
          <x:t xml:space="preserve">M_EBITDA</x:t>
        </x:is>
      </x:c>
      <x:c r="E293" s="17" t="inlineStr">
        <x:is>
          <x:t xml:space="preserve">Marge EBITDA</x:t>
        </x:is>
      </x:c>
      <x:c r="F293" s="18" t="n">
        <x:v>0.1</x:v>
      </x:c>
      <x:c r="G293" s="18" t="n">
        <x:v>0.25</x:v>
      </x:c>
      <x:c r="H293" s="17" t="inlineStr">
        <x:is>
          <x:t xml:space="preserve">%</x:t>
        </x:is>
      </x:c>
      <x:c r="I293" s="17" t="inlineStr">
        <x:is>
          <x:t xml:space="preserve">HIGH_GOOD</x:t>
        </x:is>
      </x:c>
      <x:c r="J293" s="15" t="inlineStr">
        <x:is>
          <x:t xml:space="preserve">https://www.ohada.org/en/ohada-accounting-law/</x:t>
        </x:is>
      </x:c>
      <x:c r="K293" s="15" t="inlineStr">
        <x:is>
          <x:t xml:space="preserve">Repères génériques. À adapter selon taille/maturité; remplacez par médianes/quartiles sectoriels si disponibles.</x:t>
        </x:is>
      </x:c>
    </x:row>
    <x:row r="294">
      <x:c r="A294" s="17" t="inlineStr">
        <x:is>
          <x:t xml:space="preserve">Zone Comptable OHADA|Services|M_EBIT</x:t>
        </x:is>
      </x:c>
      <x:c r="B294" s="17" t="inlineStr">
        <x:is>
          <x:t xml:space="preserve">Zone Comptable OHADA</x:t>
        </x:is>
      </x:c>
      <x:c r="C294" s="17" t="inlineStr">
        <x:is>
          <x:t xml:space="preserve">Services</x:t>
        </x:is>
      </x:c>
      <x:c r="D294" s="17" t="inlineStr">
        <x:is>
          <x:t xml:space="preserve">M_EBIT</x:t>
        </x:is>
      </x:c>
      <x:c r="E294" s="17" t="inlineStr">
        <x:is>
          <x:t xml:space="preserve">Marge EBIT</x:t>
        </x:is>
      </x:c>
      <x:c r="F294" s="18" t="n">
        <x:v>0.06</x:v>
      </x:c>
      <x:c r="G294" s="18" t="n">
        <x:v>0.18</x:v>
      </x:c>
      <x:c r="H294" s="17" t="inlineStr">
        <x:is>
          <x:t xml:space="preserve">%</x:t>
        </x:is>
      </x:c>
      <x:c r="I294" s="17" t="inlineStr">
        <x:is>
          <x:t xml:space="preserve">HIGH_GOOD</x:t>
        </x:is>
      </x:c>
      <x:c r="J294" s="15" t="inlineStr">
        <x:is>
          <x:t xml:space="preserve">https://www.ohada.org/en/ohada-accounting-law/</x:t>
        </x:is>
      </x:c>
      <x:c r="K294" s="15" t="inlineStr">
        <x:is>
          <x:t xml:space="preserve">Repères génériques. À adapter selon taille/maturité; remplacez par médianes/quartiles sectoriels si disponibles.</x:t>
        </x:is>
      </x:c>
    </x:row>
    <x:row r="295">
      <x:c r="A295" s="17" t="inlineStr">
        <x:is>
          <x:t xml:space="preserve">Zone Comptable OHADA|Services|M_NET</x:t>
        </x:is>
      </x:c>
      <x:c r="B295" s="17" t="inlineStr">
        <x:is>
          <x:t xml:space="preserve">Zone Comptable OHADA</x:t>
        </x:is>
      </x:c>
      <x:c r="C295" s="17" t="inlineStr">
        <x:is>
          <x:t xml:space="preserve">Services</x:t>
        </x:is>
      </x:c>
      <x:c r="D295" s="17" t="inlineStr">
        <x:is>
          <x:t xml:space="preserve">M_NET</x:t>
        </x:is>
      </x:c>
      <x:c r="E295" s="17" t="inlineStr">
        <x:is>
          <x:t xml:space="preserve">Marge nette</x:t>
        </x:is>
      </x:c>
      <x:c r="F295" s="18" t="n">
        <x:v>0.03</x:v>
      </x:c>
      <x:c r="G295" s="18" t="n">
        <x:v>0.12</x:v>
      </x:c>
      <x:c r="H295" s="17" t="inlineStr">
        <x:is>
          <x:t xml:space="preserve">%</x:t>
        </x:is>
      </x:c>
      <x:c r="I295" s="17" t="inlineStr">
        <x:is>
          <x:t xml:space="preserve">HIGH_GOOD</x:t>
        </x:is>
      </x:c>
      <x:c r="J295" s="15" t="inlineStr">
        <x:is>
          <x:t xml:space="preserve">https://www.ohada.org/en/ohada-accounting-law/</x:t>
        </x:is>
      </x:c>
      <x:c r="K295" s="15" t="inlineStr">
        <x:is>
          <x:t xml:space="preserve">Repères génériques. À adapter selon taille/maturité; remplacez par médianes/quartiles sectoriels si disponibles.</x:t>
        </x:is>
      </x:c>
    </x:row>
    <x:row r="296">
      <x:c r="A296" s="17" t="inlineStr">
        <x:is>
          <x:t xml:space="preserve">Zone Comptable OHADA|Services|G_REV</x:t>
        </x:is>
      </x:c>
      <x:c r="B296" s="17" t="inlineStr">
        <x:is>
          <x:t xml:space="preserve">Zone Comptable OHADA</x:t>
        </x:is>
      </x:c>
      <x:c r="C296" s="17" t="inlineStr">
        <x:is>
          <x:t xml:space="preserve">Services</x:t>
        </x:is>
      </x:c>
      <x:c r="D296" s="17" t="inlineStr">
        <x:is>
          <x:t xml:space="preserve">G_REV</x:t>
        </x:is>
      </x:c>
      <x:c r="E296" s="17" t="inlineStr">
        <x:is>
          <x:t xml:space="preserve">Croissance CA</x:t>
        </x:is>
      </x:c>
      <x:c r="F296" s="18" t="n">
        <x:v>-0.03</x:v>
      </x:c>
      <x:c r="G296" s="18" t="n">
        <x:v>0.15</x:v>
      </x:c>
      <x:c r="H296" s="17" t="inlineStr">
        <x:is>
          <x:t xml:space="preserve">%</x:t>
        </x:is>
      </x:c>
      <x:c r="I296" s="17" t="inlineStr">
        <x:is>
          <x:t xml:space="preserve">HIGH_GOOD</x:t>
        </x:is>
      </x:c>
      <x:c r="J296" s="15" t="inlineStr">
        <x:is>
          <x:t xml:space="preserve">https://www.ohada.org/en/ohada-accounting-law/</x:t>
        </x:is>
      </x:c>
      <x:c r="K296" s="15" t="inlineStr">
        <x:is>
          <x:t xml:space="preserve">Repères génériques. À adapter selon taille/maturité; remplacez par médianes/quartiles sectoriels si disponibles.</x:t>
        </x:is>
      </x:c>
    </x:row>
    <x:row r="297">
      <x:c r="A297" s="17" t="inlineStr">
        <x:is>
          <x:t xml:space="preserve">Zone Comptable OHADA|Services|G_NI</x:t>
        </x:is>
      </x:c>
      <x:c r="B297" s="17" t="inlineStr">
        <x:is>
          <x:t xml:space="preserve">Zone Comptable OHADA</x:t>
        </x:is>
      </x:c>
      <x:c r="C297" s="17" t="inlineStr">
        <x:is>
          <x:t xml:space="preserve">Services</x:t>
        </x:is>
      </x:c>
      <x:c r="D297" s="17" t="inlineStr">
        <x:is>
          <x:t xml:space="preserve">G_NI</x:t>
        </x:is>
      </x:c>
      <x:c r="E297" s="17" t="inlineStr">
        <x:is>
          <x:t xml:space="preserve">Croissance RN</x:t>
        </x:is>
      </x:c>
      <x:c r="F297" s="18" t="n">
        <x:v>-0.1</x:v>
      </x:c>
      <x:c r="G297" s="18" t="n">
        <x:v>0.2</x:v>
      </x:c>
      <x:c r="H297" s="17" t="inlineStr">
        <x:is>
          <x:t xml:space="preserve">%</x:t>
        </x:is>
      </x:c>
      <x:c r="I297" s="17" t="inlineStr">
        <x:is>
          <x:t xml:space="preserve">HIGH_GOOD</x:t>
        </x:is>
      </x:c>
      <x:c r="J297" s="15" t="inlineStr">
        <x:is>
          <x:t xml:space="preserve">https://www.ohada.org/en/ohada-accounting-law/</x:t>
        </x:is>
      </x:c>
      <x:c r="K297" s="15" t="inlineStr">
        <x:is>
          <x:t xml:space="preserve">Repères génériques. À adapter selon taille/maturité; remplacez par médianes/quartiles sectoriels si disponibles.</x:t>
        </x:is>
      </x:c>
    </x:row>
    <x:row r="298">
      <x:c r="A298" s="17" t="inlineStr">
        <x:is>
          <x:t xml:space="preserve">Zone Comptable OHADA|Services|D_INV</x:t>
        </x:is>
      </x:c>
      <x:c r="B298" s="17" t="inlineStr">
        <x:is>
          <x:t xml:space="preserve">Zone Comptable OHADA</x:t>
        </x:is>
      </x:c>
      <x:c r="C298" s="17" t="inlineStr">
        <x:is>
          <x:t xml:space="preserve">Services</x:t>
        </x:is>
      </x:c>
      <x:c r="D298" s="17" t="inlineStr">
        <x:is>
          <x:t xml:space="preserve">D_INV</x:t>
        </x:is>
      </x:c>
      <x:c r="E298" s="17" t="inlineStr">
        <x:is>
          <x:t xml:space="preserve">Jours de stocks</x:t>
        </x:is>
      </x:c>
      <x:c r="F298" s="26" t="n">
        <x:v>0</x:v>
      </x:c>
      <x:c r="G298" s="26" t="n">
        <x:v>20</x:v>
      </x:c>
      <x:c r="H298" s="17" t="inlineStr">
        <x:is>
          <x:t xml:space="preserve">jours</x:t>
        </x:is>
      </x:c>
      <x:c r="I298" s="17" t="inlineStr">
        <x:is>
          <x:t xml:space="preserve">LOW_GOOD</x:t>
        </x:is>
      </x:c>
      <x:c r="J298" s="15" t="inlineStr">
        <x:is>
          <x:t xml:space="preserve">https://www.ohada.org/en/ohada-accounting-law/</x:t>
        </x:is>
      </x:c>
      <x:c r="K298" s="15" t="inlineStr">
        <x:is>
          <x:t xml:space="preserve">Repères génériques. À adapter selon taille/maturité; remplacez par médianes/quartiles sectoriels si disponibles.</x:t>
        </x:is>
      </x:c>
    </x:row>
    <x:row r="299">
      <x:c r="A299" s="17" t="inlineStr">
        <x:is>
          <x:t xml:space="preserve">Zone Comptable OHADA|Services|DSO</x:t>
        </x:is>
      </x:c>
      <x:c r="B299" s="17" t="inlineStr">
        <x:is>
          <x:t xml:space="preserve">Zone Comptable OHADA</x:t>
        </x:is>
      </x:c>
      <x:c r="C299" s="17" t="inlineStr">
        <x:is>
          <x:t xml:space="preserve">Services</x:t>
        </x:is>
      </x:c>
      <x:c r="D299" s="17" t="inlineStr">
        <x:is>
          <x:t xml:space="preserve">DSO</x:t>
        </x:is>
      </x:c>
      <x:c r="E299" s="17" t="inlineStr">
        <x:is>
          <x:t xml:space="preserve">DSO (jours clients)</x:t>
        </x:is>
      </x:c>
      <x:c r="F299" s="26" t="n">
        <x:v>50</x:v>
      </x:c>
      <x:c r="G299" s="26" t="n">
        <x:v>110</x:v>
      </x:c>
      <x:c r="H299" s="17" t="inlineStr">
        <x:is>
          <x:t xml:space="preserve">jours</x:t>
        </x:is>
      </x:c>
      <x:c r="I299" s="17" t="inlineStr">
        <x:is>
          <x:t xml:space="preserve">LOW_GOOD</x:t>
        </x:is>
      </x:c>
      <x:c r="J299" s="15" t="inlineStr">
        <x:is>
          <x:t xml:space="preserve">https://www.ohada.org/en/ohada-accounting-law/</x:t>
        </x:is>
      </x:c>
      <x:c r="K299" s="15" t="inlineStr">
        <x:is>
          <x:t xml:space="preserve">Repère prudente. À calibrer avec comparables locaux.</x:t>
        </x:is>
      </x:c>
    </x:row>
    <x:row r="300">
      <x:c r="A300" s="17" t="inlineStr">
        <x:is>
          <x:t xml:space="preserve">Zone Comptable OHADA|Services|DPO</x:t>
        </x:is>
      </x:c>
      <x:c r="B300" s="17" t="inlineStr">
        <x:is>
          <x:t xml:space="preserve">Zone Comptable OHADA</x:t>
        </x:is>
      </x:c>
      <x:c r="C300" s="17" t="inlineStr">
        <x:is>
          <x:t xml:space="preserve">Services</x:t>
        </x:is>
      </x:c>
      <x:c r="D300" s="17" t="inlineStr">
        <x:is>
          <x:t xml:space="preserve">DPO</x:t>
        </x:is>
      </x:c>
      <x:c r="E300" s="17" t="inlineStr">
        <x:is>
          <x:t xml:space="preserve">DPO (jours fournisseurs)</x:t>
        </x:is>
      </x:c>
      <x:c r="F300" s="26" t="n">
        <x:v>30</x:v>
      </x:c>
      <x:c r="G300" s="26" t="n">
        <x:v>75</x:v>
      </x:c>
      <x:c r="H300" s="17" t="inlineStr">
        <x:is>
          <x:t xml:space="preserve">jours</x:t>
        </x:is>
      </x:c>
      <x:c r="I300" s="17" t="inlineStr">
        <x:is>
          <x:t xml:space="preserve">RANGE</x:t>
        </x:is>
      </x:c>
      <x:c r="J300" s="15" t="inlineStr">
        <x:is>
          <x:t xml:space="preserve">https://www.ohada.org/en/ohada-accounting-law/</x:t>
        </x:is>
      </x:c>
      <x:c r="K300" s="15" t="inlineStr">
        <x:is>
          <x:t xml:space="preserve">Repères génériques. À adapter selon taille/maturité; remplacez par médianes/quartiles sectoriels si disponibles.</x:t>
        </x:is>
      </x:c>
    </x:row>
    <x:row r="301">
      <x:c r="A301" s="17" t="inlineStr">
        <x:is>
          <x:t xml:space="preserve">Zone Comptable OHADA|Services|CCC</x:t>
        </x:is>
      </x:c>
      <x:c r="B301" s="17" t="inlineStr">
        <x:is>
          <x:t xml:space="preserve">Zone Comptable OHADA</x:t>
        </x:is>
      </x:c>
      <x:c r="C301" s="17" t="inlineStr">
        <x:is>
          <x:t xml:space="preserve">Services</x:t>
        </x:is>
      </x:c>
      <x:c r="D301" s="17" t="inlineStr">
        <x:is>
          <x:t xml:space="preserve">CCC</x:t>
        </x:is>
      </x:c>
      <x:c r="E301" s="17" t="inlineStr">
        <x:is>
          <x:t xml:space="preserve">Cycle de conversion cash (jours)</x:t>
        </x:is>
      </x:c>
      <x:c r="F301" s="26" t="n">
        <x:v>20</x:v>
      </x:c>
      <x:c r="G301" s="26" t="n">
        <x:v>100</x:v>
      </x:c>
      <x:c r="H301" s="17" t="inlineStr">
        <x:is>
          <x:t xml:space="preserve">jours</x:t>
        </x:is>
      </x:c>
      <x:c r="I301" s="17" t="inlineStr">
        <x:is>
          <x:t xml:space="preserve">LOW_GOOD</x:t>
        </x:is>
      </x:c>
      <x:c r="J301" s="15" t="inlineStr">
        <x:is>
          <x:t xml:space="preserve">https://www.ohada.org/en/ohada-accounting-law/</x:t>
        </x:is>
      </x:c>
      <x:c r="K301" s="15" t="inlineStr">
        <x:is>
          <x:t xml:space="preserve">Repère prudente. À calibrer avec comparables locaux.</x:t>
        </x:is>
      </x:c>
    </x:row>
    <x:row r="302">
      <x:c r="A302" s="17" t="inlineStr">
        <x:is>
          <x:t xml:space="preserve">Zone Comptable OHADA|Services|BFR_REV</x:t>
        </x:is>
      </x:c>
      <x:c r="B302" s="17" t="inlineStr">
        <x:is>
          <x:t xml:space="preserve">Zone Comptable OHADA</x:t>
        </x:is>
      </x:c>
      <x:c r="C302" s="17" t="inlineStr">
        <x:is>
          <x:t xml:space="preserve">Services</x:t>
        </x:is>
      </x:c>
      <x:c r="D302" s="17" t="inlineStr">
        <x:is>
          <x:t xml:space="preserve">BFR_REV</x:t>
        </x:is>
      </x:c>
      <x:c r="E302" s="17" t="inlineStr">
        <x:is>
          <x:t xml:space="preserve">BFR / CA</x:t>
        </x:is>
      </x:c>
      <x:c r="F302" s="18" t="n">
        <x:v>0</x:v>
      </x:c>
      <x:c r="G302" s="18" t="n">
        <x:v>0.25</x:v>
      </x:c>
      <x:c r="H302" s="17" t="inlineStr">
        <x:is>
          <x:t xml:space="preserve">%</x:t>
        </x:is>
      </x:c>
      <x:c r="I302" s="17" t="inlineStr">
        <x:is>
          <x:t xml:space="preserve">RANGE</x:t>
        </x:is>
      </x:c>
      <x:c r="J302" s="15" t="inlineStr">
        <x:is>
          <x:t xml:space="preserve">https://www.ohada.org/en/ohada-accounting-law/</x:t>
        </x:is>
      </x:c>
      <x:c r="K302" s="15" t="inlineStr">
        <x:is>
          <x:t xml:space="preserve">Repères génériques. À adapter selon taille/maturité; remplacez par médianes/quartiles sectoriels si disponibles.</x:t>
        </x:is>
      </x:c>
    </x:row>
    <x:row r="303">
      <x:c r="A303" s="17" t="inlineStr">
        <x:is>
          <x:t xml:space="preserve">Zone Comptable OHADA|Services|EQ_RATIO</x:t>
        </x:is>
      </x:c>
      <x:c r="B303" s="17" t="inlineStr">
        <x:is>
          <x:t xml:space="preserve">Zone Comptable OHADA</x:t>
        </x:is>
      </x:c>
      <x:c r="C303" s="17" t="inlineStr">
        <x:is>
          <x:t xml:space="preserve">Services</x:t>
        </x:is>
      </x:c>
      <x:c r="D303" s="17" t="inlineStr">
        <x:is>
          <x:t xml:space="preserve">EQ_RATIO</x:t>
        </x:is>
      </x:c>
      <x:c r="E303" s="17" t="inlineStr">
        <x:is>
          <x:t xml:space="preserve">Autonomie financière (CP/Total bilan)</x:t>
        </x:is>
      </x:c>
      <x:c r="F303" s="18" t="n">
        <x:v>0.3</x:v>
      </x:c>
      <x:c r="G303" s="18" t="n">
        <x:v>0.65</x:v>
      </x:c>
      <x:c r="H303" s="17" t="inlineStr">
        <x:is>
          <x:t xml:space="preserve">%</x:t>
        </x:is>
      </x:c>
      <x:c r="I303" s="17" t="inlineStr">
        <x:is>
          <x:t xml:space="preserve">HIGH_GOOD</x:t>
        </x:is>
      </x:c>
      <x:c r="J303" s="15" t="inlineStr">
        <x:is>
          <x:t xml:space="preserve">https://www.ohada.org/en/ohada-accounting-law/</x:t>
        </x:is>
      </x:c>
      <x:c r="K303" s="15" t="inlineStr">
        <x:is>
          <x:t xml:space="preserve">Repères génériques. À adapter selon taille/maturité; remplacez par médianes/quartiles sectoriels si disponibles.</x:t>
        </x:is>
      </x:c>
    </x:row>
    <x:row r="304">
      <x:c r="A304" s="17" t="inlineStr">
        <x:is>
          <x:t xml:space="preserve">Zone Comptable OHADA|Services|GEARING</x:t>
        </x:is>
      </x:c>
      <x:c r="B304" s="17" t="inlineStr">
        <x:is>
          <x:t xml:space="preserve">Zone Comptable OHADA</x:t>
        </x:is>
      </x:c>
      <x:c r="C304" s="17" t="inlineStr">
        <x:is>
          <x:t xml:space="preserve">Services</x:t>
        </x:is>
      </x:c>
      <x:c r="D304" s="17" t="inlineStr">
        <x:is>
          <x:t xml:space="preserve">GEARING</x:t>
        </x:is>
      </x:c>
      <x:c r="E304" s="17" t="inlineStr">
        <x:is>
          <x:t xml:space="preserve">Gearing (Dette nette/CP)</x:t>
        </x:is>
      </x:c>
      <x:c r="F304" s="20" t="n">
        <x:v>0</x:v>
      </x:c>
      <x:c r="G304" s="20" t="n">
        <x:v>0.8</x:v>
      </x:c>
      <x:c r="H304" s="17" t="inlineStr">
        <x:is>
          <x:t xml:space="preserve">x</x:t>
        </x:is>
      </x:c>
      <x:c r="I304" s="17" t="inlineStr">
        <x:is>
          <x:t xml:space="preserve">LOW_GOOD</x:t>
        </x:is>
      </x:c>
      <x:c r="J304" s="15" t="inlineStr">
        <x:is>
          <x:t xml:space="preserve">https://www.ohada.org/en/ohada-accounting-law/</x:t>
        </x:is>
      </x:c>
      <x:c r="K304" s="15" t="inlineStr">
        <x:is>
          <x:t xml:space="preserve">Repères génériques. À adapter selon taille/maturité; remplacez par médianes/quartiles sectoriels si disponibles.</x:t>
        </x:is>
      </x:c>
    </x:row>
    <x:row r="305">
      <x:c r="A305" s="17" t="inlineStr">
        <x:is>
          <x:t xml:space="preserve">Zone Comptable OHADA|Services|CURR</x:t>
        </x:is>
      </x:c>
      <x:c r="B305" s="17" t="inlineStr">
        <x:is>
          <x:t xml:space="preserve">Zone Comptable OHADA</x:t>
        </x:is>
      </x:c>
      <x:c r="C305" s="17" t="inlineStr">
        <x:is>
          <x:t xml:space="preserve">Services</x:t>
        </x:is>
      </x:c>
      <x:c r="D305" s="17" t="inlineStr">
        <x:is>
          <x:t xml:space="preserve">CURR</x:t>
        </x:is>
      </x:c>
      <x:c r="E305" s="17" t="inlineStr">
        <x:is>
          <x:t xml:space="preserve">Current ratio</x:t>
        </x:is>
      </x:c>
      <x:c r="F305" s="20" t="n">
        <x:v>1.2</x:v>
      </x:c>
      <x:c r="G305" s="20" t="n">
        <x:v>2.5</x:v>
      </x:c>
      <x:c r="H305" s="17" t="inlineStr">
        <x:is>
          <x:t xml:space="preserve">x</x:t>
        </x:is>
      </x:c>
      <x:c r="I305" s="17" t="inlineStr">
        <x:is>
          <x:t xml:space="preserve">RANGE</x:t>
        </x:is>
      </x:c>
      <x:c r="J305" s="15" t="inlineStr">
        <x:is>
          <x:t xml:space="preserve">https://www.ohada.org/en/ohada-accounting-law/</x:t>
        </x:is>
      </x:c>
      <x:c r="K305" s="15" t="inlineStr">
        <x:is>
          <x:t xml:space="preserve">Repères génériques. À adapter selon taille/maturité; remplacez par médianes/quartiles sectoriels si disponibles.</x:t>
        </x:is>
      </x:c>
    </x:row>
    <x:row r="306">
      <x:c r="A306" s="17" t="inlineStr">
        <x:is>
          <x:t xml:space="preserve">Zone Comptable OHADA|Services|QUICK</x:t>
        </x:is>
      </x:c>
      <x:c r="B306" s="17" t="inlineStr">
        <x:is>
          <x:t xml:space="preserve">Zone Comptable OHADA</x:t>
        </x:is>
      </x:c>
      <x:c r="C306" s="17" t="inlineStr">
        <x:is>
          <x:t xml:space="preserve">Services</x:t>
        </x:is>
      </x:c>
      <x:c r="D306" s="17" t="inlineStr">
        <x:is>
          <x:t xml:space="preserve">QUICK</x:t>
        </x:is>
      </x:c>
      <x:c r="E306" s="17" t="inlineStr">
        <x:is>
          <x:t xml:space="preserve">Quick ratio</x:t>
        </x:is>
      </x:c>
      <x:c r="F306" s="20" t="n">
        <x:v>1</x:v>
      </x:c>
      <x:c r="G306" s="20" t="n">
        <x:v>2</x:v>
      </x:c>
      <x:c r="H306" s="17" t="inlineStr">
        <x:is>
          <x:t xml:space="preserve">x</x:t>
        </x:is>
      </x:c>
      <x:c r="I306" s="17" t="inlineStr">
        <x:is>
          <x:t xml:space="preserve">RANGE</x:t>
        </x:is>
      </x:c>
      <x:c r="J306" s="15" t="inlineStr">
        <x:is>
          <x:t xml:space="preserve">https://www.ohada.org/en/ohada-accounting-law/</x:t>
        </x:is>
      </x:c>
      <x:c r="K306" s="15" t="inlineStr">
        <x:is>
          <x:t xml:space="preserve">Repères génériques. À adapter selon taille/maturité; remplacez par médianes/quartiles sectoriels si disponibles.</x:t>
        </x:is>
      </x:c>
    </x:row>
    <x:row r="307">
      <x:c r="A307" s="17" t="inlineStr">
        <x:is>
          <x:t xml:space="preserve">Zone Comptable OHADA|Services|CASHR</x:t>
        </x:is>
      </x:c>
      <x:c r="B307" s="17" t="inlineStr">
        <x:is>
          <x:t xml:space="preserve">Zone Comptable OHADA</x:t>
        </x:is>
      </x:c>
      <x:c r="C307" s="17" t="inlineStr">
        <x:is>
          <x:t xml:space="preserve">Services</x:t>
        </x:is>
      </x:c>
      <x:c r="D307" s="17" t="inlineStr">
        <x:is>
          <x:t xml:space="preserve">CASHR</x:t>
        </x:is>
      </x:c>
      <x:c r="E307" s="17" t="inlineStr">
        <x:is>
          <x:t xml:space="preserve">Cash ratio</x:t>
        </x:is>
      </x:c>
      <x:c r="F307" s="20" t="n">
        <x:v>0.25</x:v>
      </x:c>
      <x:c r="G307" s="20" t="n">
        <x:v>1</x:v>
      </x:c>
      <x:c r="H307" s="17" t="inlineStr">
        <x:is>
          <x:t xml:space="preserve">x</x:t>
        </x:is>
      </x:c>
      <x:c r="I307" s="17" t="inlineStr">
        <x:is>
          <x:t xml:space="preserve">RANGE</x:t>
        </x:is>
      </x:c>
      <x:c r="J307" s="15" t="inlineStr">
        <x:is>
          <x:t xml:space="preserve">https://www.ohada.org/en/ohada-accounting-law/</x:t>
        </x:is>
      </x:c>
      <x:c r="K307" s="15" t="inlineStr">
        <x:is>
          <x:t xml:space="preserve">Repères génériques. À adapter selon taille/maturité; remplacez par médianes/quartiles sectoriels si disponibles.</x:t>
        </x:is>
      </x:c>
    </x:row>
    <x:row r="308">
      <x:c r="A308" s="17" t="inlineStr">
        <x:is>
          <x:t xml:space="preserve">Zone Comptable OHADA|Services|ND_EBITDA</x:t>
        </x:is>
      </x:c>
      <x:c r="B308" s="17" t="inlineStr">
        <x:is>
          <x:t xml:space="preserve">Zone Comptable OHADA</x:t>
        </x:is>
      </x:c>
      <x:c r="C308" s="17" t="inlineStr">
        <x:is>
          <x:t xml:space="preserve">Services</x:t>
        </x:is>
      </x:c>
      <x:c r="D308" s="17" t="inlineStr">
        <x:is>
          <x:t xml:space="preserve">ND_EBITDA</x:t>
        </x:is>
      </x:c>
      <x:c r="E308" s="17" t="inlineStr">
        <x:is>
          <x:t xml:space="preserve">Dette nette / EBITDA</x:t>
        </x:is>
      </x:c>
      <x:c r="F308" s="20" t="n">
        <x:v>0</x:v>
      </x:c>
      <x:c r="G308" s="20" t="n">
        <x:v>2.5</x:v>
      </x:c>
      <x:c r="H308" s="17" t="inlineStr">
        <x:is>
          <x:t xml:space="preserve">x</x:t>
        </x:is>
      </x:c>
      <x:c r="I308" s="17" t="inlineStr">
        <x:is>
          <x:t xml:space="preserve">LOW_GOOD</x:t>
        </x:is>
      </x:c>
      <x:c r="J308" s="15" t="inlineStr">
        <x:is>
          <x:t xml:space="preserve">https://www.ohada.org/en/ohada-accounting-law/</x:t>
        </x:is>
      </x:c>
      <x:c r="K308" s="15" t="inlineStr">
        <x:is>
          <x:t xml:space="preserve">Repères génériques. À adapter selon taille/maturité; remplacez par médianes/quartiles sectoriels si disponibles.</x:t>
        </x:is>
      </x:c>
    </x:row>
    <x:row r="309">
      <x:c r="A309" s="17" t="inlineStr">
        <x:is>
          <x:t xml:space="preserve">Zone Comptable OHADA|Services|D_E</x:t>
        </x:is>
      </x:c>
      <x:c r="B309" s="17" t="inlineStr">
        <x:is>
          <x:t xml:space="preserve">Zone Comptable OHADA</x:t>
        </x:is>
      </x:c>
      <x:c r="C309" s="17" t="inlineStr">
        <x:is>
          <x:t xml:space="preserve">Services</x:t>
        </x:is>
      </x:c>
      <x:c r="D309" s="17" t="inlineStr">
        <x:is>
          <x:t xml:space="preserve">D_E</x:t>
        </x:is>
      </x:c>
      <x:c r="E309" s="17" t="inlineStr">
        <x:is>
          <x:t xml:space="preserve">Dette / CP</x:t>
        </x:is>
      </x:c>
      <x:c r="F309" s="20" t="n">
        <x:v>0</x:v>
      </x:c>
      <x:c r="G309" s="20" t="n">
        <x:v>1.2</x:v>
      </x:c>
      <x:c r="H309" s="17" t="inlineStr">
        <x:is>
          <x:t xml:space="preserve">x</x:t>
        </x:is>
      </x:c>
      <x:c r="I309" s="17" t="inlineStr">
        <x:is>
          <x:t xml:space="preserve">LOW_GOOD</x:t>
        </x:is>
      </x:c>
      <x:c r="J309" s="15" t="inlineStr">
        <x:is>
          <x:t xml:space="preserve">https://www.ohada.org/en/ohada-accounting-law/</x:t>
        </x:is>
      </x:c>
      <x:c r="K309" s="15" t="inlineStr">
        <x:is>
          <x:t xml:space="preserve">Repères génériques. À adapter selon taille/maturité; remplacez par médianes/quartiles sectoriels si disponibles.</x:t>
        </x:is>
      </x:c>
    </x:row>
    <x:row r="310">
      <x:c r="A310" s="17" t="inlineStr">
        <x:is>
          <x:t xml:space="preserve">Zone Comptable OHADA|Services|ICR</x:t>
        </x:is>
      </x:c>
      <x:c r="B310" s="17" t="inlineStr">
        <x:is>
          <x:t xml:space="preserve">Zone Comptable OHADA</x:t>
        </x:is>
      </x:c>
      <x:c r="C310" s="17" t="inlineStr">
        <x:is>
          <x:t xml:space="preserve">Services</x:t>
        </x:is>
      </x:c>
      <x:c r="D310" s="17" t="inlineStr">
        <x:is>
          <x:t xml:space="preserve">ICR</x:t>
        </x:is>
      </x:c>
      <x:c r="E310" s="17" t="inlineStr">
        <x:is>
          <x:t xml:space="preserve">Couverture intérêts (EBIT/Intérêts)</x:t>
        </x:is>
      </x:c>
      <x:c r="F310" s="20" t="n">
        <x:v>3</x:v>
      </x:c>
      <x:c r="G310" s="20" t="n">
        <x:v>15</x:v>
      </x:c>
      <x:c r="H310" s="17" t="inlineStr">
        <x:is>
          <x:t xml:space="preserve">x</x:t>
        </x:is>
      </x:c>
      <x:c r="I310" s="17" t="inlineStr">
        <x:is>
          <x:t xml:space="preserve">HIGH_GOOD</x:t>
        </x:is>
      </x:c>
      <x:c r="J310" s="15" t="inlineStr">
        <x:is>
          <x:t xml:space="preserve">https://www.ohada.org/en/ohada-accounting-law/</x:t>
        </x:is>
      </x:c>
      <x:c r="K310" s="15" t="inlineStr">
        <x:is>
          <x:t xml:space="preserve">Repères génériques. À adapter selon taille/maturité; remplacez par médianes/quartiles sectoriels si disponibles.</x:t>
        </x:is>
      </x:c>
    </x:row>
    <x:row r="311">
      <x:c r="A311" s="17" t="inlineStr">
        <x:is>
          <x:t xml:space="preserve">Zone Comptable OHADA|Services|DSCR</x:t>
        </x:is>
      </x:c>
      <x:c r="B311" s="17" t="inlineStr">
        <x:is>
          <x:t xml:space="preserve">Zone Comptable OHADA</x:t>
        </x:is>
      </x:c>
      <x:c r="C311" s="17" t="inlineStr">
        <x:is>
          <x:t xml:space="preserve">Services</x:t>
        </x:is>
      </x:c>
      <x:c r="D311" s="17" t="inlineStr">
        <x:is>
          <x:t xml:space="preserve">DSCR</x:t>
        </x:is>
      </x:c>
      <x:c r="E311" s="17" t="inlineStr">
        <x:is>
          <x:t xml:space="preserve">DSCR</x:t>
        </x:is>
      </x:c>
      <x:c r="F311" s="20" t="n">
        <x:v>1.2</x:v>
      </x:c>
      <x:c r="G311" s="20" t="n">
        <x:v>3.5</x:v>
      </x:c>
      <x:c r="H311" s="17" t="inlineStr">
        <x:is>
          <x:t xml:space="preserve">x</x:t>
        </x:is>
      </x:c>
      <x:c r="I311" s="17" t="inlineStr">
        <x:is>
          <x:t xml:space="preserve">HIGH_GOOD</x:t>
        </x:is>
      </x:c>
      <x:c r="J311" s="15" t="inlineStr">
        <x:is>
          <x:t xml:space="preserve">https://www.ohada.org/en/ohada-accounting-law/</x:t>
        </x:is>
      </x:c>
      <x:c r="K311" s="15" t="inlineStr">
        <x:is>
          <x:t xml:space="preserve">Repères génériques. À adapter selon taille/maturité; remplacez par médianes/quartiles sectoriels si disponibles.</x:t>
        </x:is>
      </x:c>
    </x:row>
    <x:row r="312">
      <x:c r="A312" s="17" t="inlineStr">
        <x:is>
          <x:t xml:space="preserve">Zone Comptable OHADA|Services|CFO_NI</x:t>
        </x:is>
      </x:c>
      <x:c r="B312" s="17" t="inlineStr">
        <x:is>
          <x:t xml:space="preserve">Zone Comptable OHADA</x:t>
        </x:is>
      </x:c>
      <x:c r="C312" s="17" t="inlineStr">
        <x:is>
          <x:t xml:space="preserve">Services</x:t>
        </x:is>
      </x:c>
      <x:c r="D312" s="17" t="inlineStr">
        <x:is>
          <x:t xml:space="preserve">CFO_NI</x:t>
        </x:is>
      </x:c>
      <x:c r="E312" s="17" t="inlineStr">
        <x:is>
          <x:t xml:space="preserve">CFO / RN</x:t>
        </x:is>
      </x:c>
      <x:c r="F312" s="20" t="n">
        <x:v>0.9</x:v>
      </x:c>
      <x:c r="G312" s="20" t="n">
        <x:v>1.7</x:v>
      </x:c>
      <x:c r="H312" s="17" t="inlineStr">
        <x:is>
          <x:t xml:space="preserve">x</x:t>
        </x:is>
      </x:c>
      <x:c r="I312" s="17" t="inlineStr">
        <x:is>
          <x:t xml:space="preserve">HIGH_GOOD</x:t>
        </x:is>
      </x:c>
      <x:c r="J312" s="15" t="inlineStr">
        <x:is>
          <x:t xml:space="preserve">https://www.ohada.org/en/ohada-accounting-law/</x:t>
        </x:is>
      </x:c>
      <x:c r="K312" s="15" t="inlineStr">
        <x:is>
          <x:t xml:space="preserve">Repères génériques. À adapter selon taille/maturité; remplacez par médianes/quartiles sectoriels si disponibles.</x:t>
        </x:is>
      </x:c>
    </x:row>
    <x:row r="313">
      <x:c r="A313" s="17" t="inlineStr">
        <x:is>
          <x:t xml:space="preserve">Zone Comptable OHADA|Services|ROA</x:t>
        </x:is>
      </x:c>
      <x:c r="B313" s="17" t="inlineStr">
        <x:is>
          <x:t xml:space="preserve">Zone Comptable OHADA</x:t>
        </x:is>
      </x:c>
      <x:c r="C313" s="17" t="inlineStr">
        <x:is>
          <x:t xml:space="preserve">Services</x:t>
        </x:is>
      </x:c>
      <x:c r="D313" s="17" t="inlineStr">
        <x:is>
          <x:t xml:space="preserve">ROA</x:t>
        </x:is>
      </x:c>
      <x:c r="E313" s="17" t="inlineStr">
        <x:is>
          <x:t xml:space="preserve">ROA</x:t>
        </x:is>
      </x:c>
      <x:c r="F313" s="18" t="n">
        <x:v>0.03</x:v>
      </x:c>
      <x:c r="G313" s="18" t="n">
        <x:v>0.1</x:v>
      </x:c>
      <x:c r="H313" s="17" t="inlineStr">
        <x:is>
          <x:t xml:space="preserve">%</x:t>
        </x:is>
      </x:c>
      <x:c r="I313" s="17" t="inlineStr">
        <x:is>
          <x:t xml:space="preserve">HIGH_GOOD</x:t>
        </x:is>
      </x:c>
      <x:c r="J313" s="15" t="inlineStr">
        <x:is>
          <x:t xml:space="preserve">https://www.ohada.org/en/ohada-accounting-law/</x:t>
        </x:is>
      </x:c>
      <x:c r="K313" s="15" t="inlineStr">
        <x:is>
          <x:t xml:space="preserve">Repères génériques. À adapter selon taille/maturité; remplacez par médianes/quartiles sectoriels si disponibles.</x:t>
        </x:is>
      </x:c>
    </x:row>
    <x:row r="314">
      <x:c r="A314" s="17" t="inlineStr">
        <x:is>
          <x:t xml:space="preserve">Zone Comptable OHADA|Services|ROE</x:t>
        </x:is>
      </x:c>
      <x:c r="B314" s="17" t="inlineStr">
        <x:is>
          <x:t xml:space="preserve">Zone Comptable OHADA</x:t>
        </x:is>
      </x:c>
      <x:c r="C314" s="17" t="inlineStr">
        <x:is>
          <x:t xml:space="preserve">Services</x:t>
        </x:is>
      </x:c>
      <x:c r="D314" s="17" t="inlineStr">
        <x:is>
          <x:t xml:space="preserve">ROE</x:t>
        </x:is>
      </x:c>
      <x:c r="E314" s="17" t="inlineStr">
        <x:is>
          <x:t xml:space="preserve">ROE</x:t>
        </x:is>
      </x:c>
      <x:c r="F314" s="18" t="n">
        <x:v>0.1</x:v>
      </x:c>
      <x:c r="G314" s="18" t="n">
        <x:v>0.22</x:v>
      </x:c>
      <x:c r="H314" s="17" t="inlineStr">
        <x:is>
          <x:t xml:space="preserve">%</x:t>
        </x:is>
      </x:c>
      <x:c r="I314" s="17" t="inlineStr">
        <x:is>
          <x:t xml:space="preserve">HIGH_GOOD</x:t>
        </x:is>
      </x:c>
      <x:c r="J314" s="15" t="inlineStr">
        <x:is>
          <x:t xml:space="preserve">https://www.ohada.org/en/ohada-accounting-law/</x:t>
        </x:is>
      </x:c>
      <x:c r="K314" s="15" t="inlineStr">
        <x:is>
          <x:t xml:space="preserve">Repères génériques. À adapter selon taille/maturité; remplacez par médianes/quartiles sectoriels si disponibles.</x:t>
        </x:is>
      </x:c>
    </x:row>
    <x:row r="315">
      <x:c r="A315" s="17" t="inlineStr">
        <x:is>
          <x:t xml:space="preserve">Zone Comptable OHADA|Services|ROCE</x:t>
        </x:is>
      </x:c>
      <x:c r="B315" s="17" t="inlineStr">
        <x:is>
          <x:t xml:space="preserve">Zone Comptable OHADA</x:t>
        </x:is>
      </x:c>
      <x:c r="C315" s="17" t="inlineStr">
        <x:is>
          <x:t xml:space="preserve">Services</x:t>
        </x:is>
      </x:c>
      <x:c r="D315" s="17" t="inlineStr">
        <x:is>
          <x:t xml:space="preserve">ROCE</x:t>
        </x:is>
      </x:c>
      <x:c r="E315" s="17" t="inlineStr">
        <x:is>
          <x:t xml:space="preserve">ROCE</x:t>
        </x:is>
      </x:c>
      <x:c r="F315" s="18" t="n">
        <x:v>0.1</x:v>
      </x:c>
      <x:c r="G315" s="18" t="n">
        <x:v>0.25</x:v>
      </x:c>
      <x:c r="H315" s="17" t="inlineStr">
        <x:is>
          <x:t xml:space="preserve">%</x:t>
        </x:is>
      </x:c>
      <x:c r="I315" s="17" t="inlineStr">
        <x:is>
          <x:t xml:space="preserve">HIGH_GOOD</x:t>
        </x:is>
      </x:c>
      <x:c r="J315" s="15" t="inlineStr">
        <x:is>
          <x:t xml:space="preserve">https://www.ohada.org/en/ohada-accounting-law/</x:t>
        </x:is>
      </x:c>
      <x:c r="K315" s="15" t="inlineStr">
        <x:is>
          <x:t xml:space="preserve">Repères génériques. À adapter selon taille/maturité; remplacez par médianes/quartiles sectoriels si disponibles.</x:t>
        </x:is>
      </x:c>
    </x:row>
    <x:row r="316">
      <x:c r="A316" s="17" t="inlineStr">
        <x:is>
          <x:t xml:space="preserve">Zone Comptable OHADA|SaaS|M_GROSS</x:t>
        </x:is>
      </x:c>
      <x:c r="B316" s="17" t="inlineStr">
        <x:is>
          <x:t xml:space="preserve">Zone Comptable OHADA</x:t>
        </x:is>
      </x:c>
      <x:c r="C316" s="17" t="inlineStr">
        <x:is>
          <x:t xml:space="preserve">SaaS</x:t>
        </x:is>
      </x:c>
      <x:c r="D316" s="17" t="inlineStr">
        <x:is>
          <x:t xml:space="preserve">M_GROSS</x:t>
        </x:is>
      </x:c>
      <x:c r="E316" s="17" t="inlineStr">
        <x:is>
          <x:t xml:space="preserve">Marge brute</x:t>
        </x:is>
      </x:c>
      <x:c r="F316" s="18" t="n">
        <x:v>0.7</x:v>
      </x:c>
      <x:c r="G316" s="18" t="n">
        <x:v>0.9</x:v>
      </x:c>
      <x:c r="H316" s="17" t="inlineStr">
        <x:is>
          <x:t xml:space="preserve">%</x:t>
        </x:is>
      </x:c>
      <x:c r="I316" s="17" t="inlineStr">
        <x:is>
          <x:t xml:space="preserve">HIGH_GOOD</x:t>
        </x:is>
      </x:c>
      <x:c r="J316" s="15" t="inlineStr">
        <x:is>
          <x:t xml:space="preserve">https://www.ohada.org/en/ohada-accounting-law/</x:t>
        </x:is>
      </x:c>
      <x:c r="K316" s="15" t="inlineStr">
        <x:is>
          <x:t xml:space="preserve">Repères génériques. À adapter selon taille/maturité; remplacez par médianes/quartiles sectoriels si disponibles.</x:t>
        </x:is>
      </x:c>
    </x:row>
    <x:row r="317">
      <x:c r="A317" s="17" t="inlineStr">
        <x:is>
          <x:t xml:space="preserve">Zone Comptable OHADA|SaaS|M_EBITDA</x:t>
        </x:is>
      </x:c>
      <x:c r="B317" s="17" t="inlineStr">
        <x:is>
          <x:t xml:space="preserve">Zone Comptable OHADA</x:t>
        </x:is>
      </x:c>
      <x:c r="C317" s="17" t="inlineStr">
        <x:is>
          <x:t xml:space="preserve">SaaS</x:t>
        </x:is>
      </x:c>
      <x:c r="D317" s="17" t="inlineStr">
        <x:is>
          <x:t xml:space="preserve">M_EBITDA</x:t>
        </x:is>
      </x:c>
      <x:c r="E317" s="17" t="inlineStr">
        <x:is>
          <x:t xml:space="preserve">Marge EBITDA</x:t>
        </x:is>
      </x:c>
      <x:c r="F317" s="18" t="n">
        <x:v>0</x:v>
      </x:c>
      <x:c r="G317" s="18" t="n">
        <x:v>0.3</x:v>
      </x:c>
      <x:c r="H317" s="17" t="inlineStr">
        <x:is>
          <x:t xml:space="preserve">%</x:t>
        </x:is>
      </x:c>
      <x:c r="I317" s="17" t="inlineStr">
        <x:is>
          <x:t xml:space="preserve">HIGH_GOOD</x:t>
        </x:is>
      </x:c>
      <x:c r="J317" s="15" t="inlineStr">
        <x:is>
          <x:t xml:space="preserve">https://www.ohada.org/en/ohada-accounting-law/</x:t>
        </x:is>
      </x:c>
      <x:c r="K317" s="15" t="inlineStr">
        <x:is>
          <x:t xml:space="preserve">Repères génériques. À adapter selon taille/maturité; remplacez par médianes/quartiles sectoriels si disponibles.</x:t>
        </x:is>
      </x:c>
    </x:row>
    <x:row r="318">
      <x:c r="A318" s="17" t="inlineStr">
        <x:is>
          <x:t xml:space="preserve">Zone Comptable OHADA|SaaS|M_EBIT</x:t>
        </x:is>
      </x:c>
      <x:c r="B318" s="17" t="inlineStr">
        <x:is>
          <x:t xml:space="preserve">Zone Comptable OHADA</x:t>
        </x:is>
      </x:c>
      <x:c r="C318" s="17" t="inlineStr">
        <x:is>
          <x:t xml:space="preserve">SaaS</x:t>
        </x:is>
      </x:c>
      <x:c r="D318" s="17" t="inlineStr">
        <x:is>
          <x:t xml:space="preserve">M_EBIT</x:t>
        </x:is>
      </x:c>
      <x:c r="E318" s="17" t="inlineStr">
        <x:is>
          <x:t xml:space="preserve">Marge EBIT</x:t>
        </x:is>
      </x:c>
      <x:c r="F318" s="18" t="n">
        <x:v>-0.05</x:v>
      </x:c>
      <x:c r="G318" s="18" t="n">
        <x:v>0.2</x:v>
      </x:c>
      <x:c r="H318" s="17" t="inlineStr">
        <x:is>
          <x:t xml:space="preserve">%</x:t>
        </x:is>
      </x:c>
      <x:c r="I318" s="17" t="inlineStr">
        <x:is>
          <x:t xml:space="preserve">HIGH_GOOD</x:t>
        </x:is>
      </x:c>
      <x:c r="J318" s="15" t="inlineStr">
        <x:is>
          <x:t xml:space="preserve">https://www.ohada.org/en/ohada-accounting-law/</x:t>
        </x:is>
      </x:c>
      <x:c r="K318" s="15" t="inlineStr">
        <x:is>
          <x:t xml:space="preserve">Repères génériques. À adapter selon taille/maturité; remplacez par médianes/quartiles sectoriels si disponibles.</x:t>
        </x:is>
      </x:c>
    </x:row>
    <x:row r="319">
      <x:c r="A319" s="17" t="inlineStr">
        <x:is>
          <x:t xml:space="preserve">Zone Comptable OHADA|SaaS|M_NET</x:t>
        </x:is>
      </x:c>
      <x:c r="B319" s="17" t="inlineStr">
        <x:is>
          <x:t xml:space="preserve">Zone Comptable OHADA</x:t>
        </x:is>
      </x:c>
      <x:c r="C319" s="17" t="inlineStr">
        <x:is>
          <x:t xml:space="preserve">SaaS</x:t>
        </x:is>
      </x:c>
      <x:c r="D319" s="17" t="inlineStr">
        <x:is>
          <x:t xml:space="preserve">M_NET</x:t>
        </x:is>
      </x:c>
      <x:c r="E319" s="17" t="inlineStr">
        <x:is>
          <x:t xml:space="preserve">Marge nette</x:t>
        </x:is>
      </x:c>
      <x:c r="F319" s="18" t="n">
        <x:v>-0.1</x:v>
      </x:c>
      <x:c r="G319" s="18" t="n">
        <x:v>0.15</x:v>
      </x:c>
      <x:c r="H319" s="17" t="inlineStr">
        <x:is>
          <x:t xml:space="preserve">%</x:t>
        </x:is>
      </x:c>
      <x:c r="I319" s="17" t="inlineStr">
        <x:is>
          <x:t xml:space="preserve">HIGH_GOOD</x:t>
        </x:is>
      </x:c>
      <x:c r="J319" s="15" t="inlineStr">
        <x:is>
          <x:t xml:space="preserve">https://www.ohada.org/en/ohada-accounting-law/</x:t>
        </x:is>
      </x:c>
      <x:c r="K319" s="15" t="inlineStr">
        <x:is>
          <x:t xml:space="preserve">Repères génériques. À adapter selon taille/maturité; remplacez par médianes/quartiles sectoriels si disponibles.</x:t>
        </x:is>
      </x:c>
    </x:row>
    <x:row r="320">
      <x:c r="A320" s="17" t="inlineStr">
        <x:is>
          <x:t xml:space="preserve">Zone Comptable OHADA|SaaS|G_REV</x:t>
        </x:is>
      </x:c>
      <x:c r="B320" s="17" t="inlineStr">
        <x:is>
          <x:t xml:space="preserve">Zone Comptable OHADA</x:t>
        </x:is>
      </x:c>
      <x:c r="C320" s="17" t="inlineStr">
        <x:is>
          <x:t xml:space="preserve">SaaS</x:t>
        </x:is>
      </x:c>
      <x:c r="D320" s="17" t="inlineStr">
        <x:is>
          <x:t xml:space="preserve">G_REV</x:t>
        </x:is>
      </x:c>
      <x:c r="E320" s="17" t="inlineStr">
        <x:is>
          <x:t xml:space="preserve">Croissance CA</x:t>
        </x:is>
      </x:c>
      <x:c r="F320" s="18" t="n">
        <x:v>0.05</x:v>
      </x:c>
      <x:c r="G320" s="18" t="n">
        <x:v>0.4</x:v>
      </x:c>
      <x:c r="H320" s="17" t="inlineStr">
        <x:is>
          <x:t xml:space="preserve">%</x:t>
        </x:is>
      </x:c>
      <x:c r="I320" s="17" t="inlineStr">
        <x:is>
          <x:t xml:space="preserve">HIGH_GOOD</x:t>
        </x:is>
      </x:c>
      <x:c r="J320" s="15" t="inlineStr">
        <x:is>
          <x:t xml:space="preserve">https://www.ohada.org/en/ohada-accounting-law/</x:t>
        </x:is>
      </x:c>
      <x:c r="K320" s="15" t="inlineStr">
        <x:is>
          <x:t xml:space="preserve">Repères génériques. À adapter selon taille/maturité; remplacez par médianes/quartiles sectoriels si disponibles.</x:t>
        </x:is>
      </x:c>
    </x:row>
    <x:row r="321">
      <x:c r="A321" s="17" t="inlineStr">
        <x:is>
          <x:t xml:space="preserve">Zone Comptable OHADA|SaaS|G_NI</x:t>
        </x:is>
      </x:c>
      <x:c r="B321" s="17" t="inlineStr">
        <x:is>
          <x:t xml:space="preserve">Zone Comptable OHADA</x:t>
        </x:is>
      </x:c>
      <x:c r="C321" s="17" t="inlineStr">
        <x:is>
          <x:t xml:space="preserve">SaaS</x:t>
        </x:is>
      </x:c>
      <x:c r="D321" s="17" t="inlineStr">
        <x:is>
          <x:t xml:space="preserve">G_NI</x:t>
        </x:is>
      </x:c>
      <x:c r="E321" s="17" t="inlineStr">
        <x:is>
          <x:t xml:space="preserve">Croissance RN</x:t>
        </x:is>
      </x:c>
      <x:c r="F321" s="18" t="n">
        <x:v>-0.2</x:v>
      </x:c>
      <x:c r="G321" s="18" t="n">
        <x:v>0.3</x:v>
      </x:c>
      <x:c r="H321" s="17" t="inlineStr">
        <x:is>
          <x:t xml:space="preserve">%</x:t>
        </x:is>
      </x:c>
      <x:c r="I321" s="17" t="inlineStr">
        <x:is>
          <x:t xml:space="preserve">HIGH_GOOD</x:t>
        </x:is>
      </x:c>
      <x:c r="J321" s="15" t="inlineStr">
        <x:is>
          <x:t xml:space="preserve">https://www.ohada.org/en/ohada-accounting-law/</x:t>
        </x:is>
      </x:c>
      <x:c r="K321" s="15" t="inlineStr">
        <x:is>
          <x:t xml:space="preserve">Repères génériques. À adapter selon taille/maturité; remplacez par médianes/quartiles sectoriels si disponibles.</x:t>
        </x:is>
      </x:c>
    </x:row>
    <x:row r="322">
      <x:c r="A322" s="17" t="inlineStr">
        <x:is>
          <x:t xml:space="preserve">Zone Comptable OHADA|SaaS|D_INV</x:t>
        </x:is>
      </x:c>
      <x:c r="B322" s="17" t="inlineStr">
        <x:is>
          <x:t xml:space="preserve">Zone Comptable OHADA</x:t>
        </x:is>
      </x:c>
      <x:c r="C322" s="17" t="inlineStr">
        <x:is>
          <x:t xml:space="preserve">SaaS</x:t>
        </x:is>
      </x:c>
      <x:c r="D322" s="17" t="inlineStr">
        <x:is>
          <x:t xml:space="preserve">D_INV</x:t>
        </x:is>
      </x:c>
      <x:c r="E322" s="17" t="inlineStr">
        <x:is>
          <x:t xml:space="preserve">Jours de stocks</x:t>
        </x:is>
      </x:c>
      <x:c r="F322" s="26" t="n">
        <x:v>0</x:v>
      </x:c>
      <x:c r="G322" s="26" t="n">
        <x:v>5</x:v>
      </x:c>
      <x:c r="H322" s="17" t="inlineStr">
        <x:is>
          <x:t xml:space="preserve">jours</x:t>
        </x:is>
      </x:c>
      <x:c r="I322" s="17" t="inlineStr">
        <x:is>
          <x:t xml:space="preserve">LOW_GOOD</x:t>
        </x:is>
      </x:c>
      <x:c r="J322" s="15" t="inlineStr">
        <x:is>
          <x:t xml:space="preserve">https://www.ohada.org/en/ohada-accounting-law/</x:t>
        </x:is>
      </x:c>
      <x:c r="K322" s="15" t="inlineStr">
        <x:is>
          <x:t xml:space="preserve">Repères génériques. À adapter selon taille/maturité; remplacez par médianes/quartiles sectoriels si disponibles.</x:t>
        </x:is>
      </x:c>
    </x:row>
    <x:row r="323">
      <x:c r="A323" s="17" t="inlineStr">
        <x:is>
          <x:t xml:space="preserve">Zone Comptable OHADA|SaaS|DSO</x:t>
        </x:is>
      </x:c>
      <x:c r="B323" s="17" t="inlineStr">
        <x:is>
          <x:t xml:space="preserve">Zone Comptable OHADA</x:t>
        </x:is>
      </x:c>
      <x:c r="C323" s="17" t="inlineStr">
        <x:is>
          <x:t xml:space="preserve">SaaS</x:t>
        </x:is>
      </x:c>
      <x:c r="D323" s="17" t="inlineStr">
        <x:is>
          <x:t xml:space="preserve">DSO</x:t>
        </x:is>
      </x:c>
      <x:c r="E323" s="17" t="inlineStr">
        <x:is>
          <x:t xml:space="preserve">DSO (jours clients)</x:t>
        </x:is>
      </x:c>
      <x:c r="F323" s="26" t="n">
        <x:v>35</x:v>
      </x:c>
      <x:c r="G323" s="26" t="n">
        <x:v>90</x:v>
      </x:c>
      <x:c r="H323" s="17" t="inlineStr">
        <x:is>
          <x:t xml:space="preserve">jours</x:t>
        </x:is>
      </x:c>
      <x:c r="I323" s="17" t="inlineStr">
        <x:is>
          <x:t xml:space="preserve">LOW_GOOD</x:t>
        </x:is>
      </x:c>
      <x:c r="J323" s="15" t="inlineStr">
        <x:is>
          <x:t xml:space="preserve">https://www.ohada.org/en/ohada-accounting-law/</x:t>
        </x:is>
      </x:c>
      <x:c r="K323" s="15" t="inlineStr">
        <x:is>
          <x:t xml:space="preserve">Repère prudente. À calibrer avec comparables locaux.</x:t>
        </x:is>
      </x:c>
    </x:row>
    <x:row r="324">
      <x:c r="A324" s="17" t="inlineStr">
        <x:is>
          <x:t xml:space="preserve">Zone Comptable OHADA|SaaS|DPO</x:t>
        </x:is>
      </x:c>
      <x:c r="B324" s="17" t="inlineStr">
        <x:is>
          <x:t xml:space="preserve">Zone Comptable OHADA</x:t>
        </x:is>
      </x:c>
      <x:c r="C324" s="17" t="inlineStr">
        <x:is>
          <x:t xml:space="preserve">SaaS</x:t>
        </x:is>
      </x:c>
      <x:c r="D324" s="17" t="inlineStr">
        <x:is>
          <x:t xml:space="preserve">DPO</x:t>
        </x:is>
      </x:c>
      <x:c r="E324" s="17" t="inlineStr">
        <x:is>
          <x:t xml:space="preserve">DPO (jours fournisseurs)</x:t>
        </x:is>
      </x:c>
      <x:c r="F324" s="26" t="n">
        <x:v>30</x:v>
      </x:c>
      <x:c r="G324" s="26" t="n">
        <x:v>90</x:v>
      </x:c>
      <x:c r="H324" s="17" t="inlineStr">
        <x:is>
          <x:t xml:space="preserve">jours</x:t>
        </x:is>
      </x:c>
      <x:c r="I324" s="17" t="inlineStr">
        <x:is>
          <x:t xml:space="preserve">RANGE</x:t>
        </x:is>
      </x:c>
      <x:c r="J324" s="15" t="inlineStr">
        <x:is>
          <x:t xml:space="preserve">https://www.ohada.org/en/ohada-accounting-law/</x:t>
        </x:is>
      </x:c>
      <x:c r="K324" s="15" t="inlineStr">
        <x:is>
          <x:t xml:space="preserve">Repères génériques. À adapter selon taille/maturité; remplacez par médianes/quartiles sectoriels si disponibles.</x:t>
        </x:is>
      </x:c>
    </x:row>
    <x:row r="325">
      <x:c r="A325" s="17" t="inlineStr">
        <x:is>
          <x:t xml:space="preserve">Zone Comptable OHADA|SaaS|CCC</x:t>
        </x:is>
      </x:c>
      <x:c r="B325" s="17" t="inlineStr">
        <x:is>
          <x:t xml:space="preserve">Zone Comptable OHADA</x:t>
        </x:is>
      </x:c>
      <x:c r="C325" s="17" t="inlineStr">
        <x:is>
          <x:t xml:space="preserve">SaaS</x:t>
        </x:is>
      </x:c>
      <x:c r="D325" s="17" t="inlineStr">
        <x:is>
          <x:t xml:space="preserve">CCC</x:t>
        </x:is>
      </x:c>
      <x:c r="E325" s="17" t="inlineStr">
        <x:is>
          <x:t xml:space="preserve">Cycle de conversion cash (jours)</x:t>
        </x:is>
      </x:c>
      <x:c r="F325" s="26" t="n">
        <x:v>-30</x:v>
      </x:c>
      <x:c r="G325" s="26" t="n">
        <x:v>30</x:v>
      </x:c>
      <x:c r="H325" s="17" t="inlineStr">
        <x:is>
          <x:t xml:space="preserve">jours</x:t>
        </x:is>
      </x:c>
      <x:c r="I325" s="17" t="inlineStr">
        <x:is>
          <x:t xml:space="preserve">LOW_GOOD</x:t>
        </x:is>
      </x:c>
      <x:c r="J325" s="15" t="inlineStr">
        <x:is>
          <x:t xml:space="preserve">https://www.ohada.org/en/ohada-accounting-law/</x:t>
        </x:is>
      </x:c>
      <x:c r="K325" s="15" t="inlineStr">
        <x:is>
          <x:t xml:space="preserve">Repère prudente. À calibrer avec comparables locaux.</x:t>
        </x:is>
      </x:c>
    </x:row>
    <x:row r="326">
      <x:c r="A326" s="17" t="inlineStr">
        <x:is>
          <x:t xml:space="preserve">Zone Comptable OHADA|SaaS|BFR_REV</x:t>
        </x:is>
      </x:c>
      <x:c r="B326" s="17" t="inlineStr">
        <x:is>
          <x:t xml:space="preserve">Zone Comptable OHADA</x:t>
        </x:is>
      </x:c>
      <x:c r="C326" s="17" t="inlineStr">
        <x:is>
          <x:t xml:space="preserve">SaaS</x:t>
        </x:is>
      </x:c>
      <x:c r="D326" s="17" t="inlineStr">
        <x:is>
          <x:t xml:space="preserve">BFR_REV</x:t>
        </x:is>
      </x:c>
      <x:c r="E326" s="17" t="inlineStr">
        <x:is>
          <x:t xml:space="preserve">BFR / CA</x:t>
        </x:is>
      </x:c>
      <x:c r="F326" s="18" t="n">
        <x:v>-0.1</x:v>
      </x:c>
      <x:c r="G326" s="18" t="n">
        <x:v>0.15</x:v>
      </x:c>
      <x:c r="H326" s="17" t="inlineStr">
        <x:is>
          <x:t xml:space="preserve">%</x:t>
        </x:is>
      </x:c>
      <x:c r="I326" s="17" t="inlineStr">
        <x:is>
          <x:t xml:space="preserve">RANGE</x:t>
        </x:is>
      </x:c>
      <x:c r="J326" s="15" t="inlineStr">
        <x:is>
          <x:t xml:space="preserve">https://www.ohada.org/en/ohada-accounting-law/</x:t>
        </x:is>
      </x:c>
      <x:c r="K326" s="15" t="inlineStr">
        <x:is>
          <x:t xml:space="preserve">Repères génériques. À adapter selon taille/maturité; remplacez par médianes/quartiles sectoriels si disponibles.</x:t>
        </x:is>
      </x:c>
    </x:row>
    <x:row r="327">
      <x:c r="A327" s="17" t="inlineStr">
        <x:is>
          <x:t xml:space="preserve">Zone Comptable OHADA|SaaS|EQ_RATIO</x:t>
        </x:is>
      </x:c>
      <x:c r="B327" s="17" t="inlineStr">
        <x:is>
          <x:t xml:space="preserve">Zone Comptable OHADA</x:t>
        </x:is>
      </x:c>
      <x:c r="C327" s="17" t="inlineStr">
        <x:is>
          <x:t xml:space="preserve">SaaS</x:t>
        </x:is>
      </x:c>
      <x:c r="D327" s="17" t="inlineStr">
        <x:is>
          <x:t xml:space="preserve">EQ_RATIO</x:t>
        </x:is>
      </x:c>
      <x:c r="E327" s="17" t="inlineStr">
        <x:is>
          <x:t xml:space="preserve">Autonomie financière (CP/Total bilan)</x:t>
        </x:is>
      </x:c>
      <x:c r="F327" s="18" t="n">
        <x:v>0.35</x:v>
      </x:c>
      <x:c r="G327" s="18" t="n">
        <x:v>0.8</x:v>
      </x:c>
      <x:c r="H327" s="17" t="inlineStr">
        <x:is>
          <x:t xml:space="preserve">%</x:t>
        </x:is>
      </x:c>
      <x:c r="I327" s="17" t="inlineStr">
        <x:is>
          <x:t xml:space="preserve">HIGH_GOOD</x:t>
        </x:is>
      </x:c>
      <x:c r="J327" s="15" t="inlineStr">
        <x:is>
          <x:t xml:space="preserve">https://www.ohada.org/en/ohada-accounting-law/</x:t>
        </x:is>
      </x:c>
      <x:c r="K327" s="15" t="inlineStr">
        <x:is>
          <x:t xml:space="preserve">Repères génériques. À adapter selon taille/maturité; remplacez par médianes/quartiles sectoriels si disponibles.</x:t>
        </x:is>
      </x:c>
    </x:row>
    <x:row r="328">
      <x:c r="A328" s="17" t="inlineStr">
        <x:is>
          <x:t xml:space="preserve">Zone Comptable OHADA|SaaS|GEARING</x:t>
        </x:is>
      </x:c>
      <x:c r="B328" s="17" t="inlineStr">
        <x:is>
          <x:t xml:space="preserve">Zone Comptable OHADA</x:t>
        </x:is>
      </x:c>
      <x:c r="C328" s="17" t="inlineStr">
        <x:is>
          <x:t xml:space="preserve">SaaS</x:t>
        </x:is>
      </x:c>
      <x:c r="D328" s="17" t="inlineStr">
        <x:is>
          <x:t xml:space="preserve">GEARING</x:t>
        </x:is>
      </x:c>
      <x:c r="E328" s="17" t="inlineStr">
        <x:is>
          <x:t xml:space="preserve">Gearing (Dette nette/CP)</x:t>
        </x:is>
      </x:c>
      <x:c r="F328" s="20" t="n">
        <x:v>0</x:v>
      </x:c>
      <x:c r="G328" s="20" t="n">
        <x:v>0.6</x:v>
      </x:c>
      <x:c r="H328" s="17" t="inlineStr">
        <x:is>
          <x:t xml:space="preserve">x</x:t>
        </x:is>
      </x:c>
      <x:c r="I328" s="17" t="inlineStr">
        <x:is>
          <x:t xml:space="preserve">LOW_GOOD</x:t>
        </x:is>
      </x:c>
      <x:c r="J328" s="15" t="inlineStr">
        <x:is>
          <x:t xml:space="preserve">https://www.ohada.org/en/ohada-accounting-law/</x:t>
        </x:is>
      </x:c>
      <x:c r="K328" s="15" t="inlineStr">
        <x:is>
          <x:t xml:space="preserve">Repères génériques. À adapter selon taille/maturité; remplacez par médianes/quartiles sectoriels si disponibles.</x:t>
        </x:is>
      </x:c>
    </x:row>
    <x:row r="329">
      <x:c r="A329" s="17" t="inlineStr">
        <x:is>
          <x:t xml:space="preserve">Zone Comptable OHADA|SaaS|CURR</x:t>
        </x:is>
      </x:c>
      <x:c r="B329" s="17" t="inlineStr">
        <x:is>
          <x:t xml:space="preserve">Zone Comptable OHADA</x:t>
        </x:is>
      </x:c>
      <x:c r="C329" s="17" t="inlineStr">
        <x:is>
          <x:t xml:space="preserve">SaaS</x:t>
        </x:is>
      </x:c>
      <x:c r="D329" s="17" t="inlineStr">
        <x:is>
          <x:t xml:space="preserve">CURR</x:t>
        </x:is>
      </x:c>
      <x:c r="E329" s="17" t="inlineStr">
        <x:is>
          <x:t xml:space="preserve">Current ratio</x:t>
        </x:is>
      </x:c>
      <x:c r="F329" s="20" t="n">
        <x:v>1.5</x:v>
      </x:c>
      <x:c r="G329" s="20" t="n">
        <x:v>3.5</x:v>
      </x:c>
      <x:c r="H329" s="17" t="inlineStr">
        <x:is>
          <x:t xml:space="preserve">x</x:t>
        </x:is>
      </x:c>
      <x:c r="I329" s="17" t="inlineStr">
        <x:is>
          <x:t xml:space="preserve">RANGE</x:t>
        </x:is>
      </x:c>
      <x:c r="J329" s="15" t="inlineStr">
        <x:is>
          <x:t xml:space="preserve">https://www.ohada.org/en/ohada-accounting-law/</x:t>
        </x:is>
      </x:c>
      <x:c r="K329" s="15" t="inlineStr">
        <x:is>
          <x:t xml:space="preserve">Repères génériques. À adapter selon taille/maturité; remplacez par médianes/quartiles sectoriels si disponibles.</x:t>
        </x:is>
      </x:c>
    </x:row>
    <x:row r="330">
      <x:c r="A330" s="17" t="inlineStr">
        <x:is>
          <x:t xml:space="preserve">Zone Comptable OHADA|SaaS|QUICK</x:t>
        </x:is>
      </x:c>
      <x:c r="B330" s="17" t="inlineStr">
        <x:is>
          <x:t xml:space="preserve">Zone Comptable OHADA</x:t>
        </x:is>
      </x:c>
      <x:c r="C330" s="17" t="inlineStr">
        <x:is>
          <x:t xml:space="preserve">SaaS</x:t>
        </x:is>
      </x:c>
      <x:c r="D330" s="17" t="inlineStr">
        <x:is>
          <x:t xml:space="preserve">QUICK</x:t>
        </x:is>
      </x:c>
      <x:c r="E330" s="17" t="inlineStr">
        <x:is>
          <x:t xml:space="preserve">Quick ratio</x:t>
        </x:is>
      </x:c>
      <x:c r="F330" s="20" t="n">
        <x:v>1.3</x:v>
      </x:c>
      <x:c r="G330" s="20" t="n">
        <x:v>3</x:v>
      </x:c>
      <x:c r="H330" s="17" t="inlineStr">
        <x:is>
          <x:t xml:space="preserve">x</x:t>
        </x:is>
      </x:c>
      <x:c r="I330" s="17" t="inlineStr">
        <x:is>
          <x:t xml:space="preserve">RANGE</x:t>
        </x:is>
      </x:c>
      <x:c r="J330" s="15" t="inlineStr">
        <x:is>
          <x:t xml:space="preserve">https://www.ohada.org/en/ohada-accounting-law/</x:t>
        </x:is>
      </x:c>
      <x:c r="K330" s="15" t="inlineStr">
        <x:is>
          <x:t xml:space="preserve">Repères génériques. À adapter selon taille/maturité; remplacez par médianes/quartiles sectoriels si disponibles.</x:t>
        </x:is>
      </x:c>
    </x:row>
    <x:row r="331">
      <x:c r="A331" s="17" t="inlineStr">
        <x:is>
          <x:t xml:space="preserve">Zone Comptable OHADA|SaaS|CASHR</x:t>
        </x:is>
      </x:c>
      <x:c r="B331" s="17" t="inlineStr">
        <x:is>
          <x:t xml:space="preserve">Zone Comptable OHADA</x:t>
        </x:is>
      </x:c>
      <x:c r="C331" s="17" t="inlineStr">
        <x:is>
          <x:t xml:space="preserve">SaaS</x:t>
        </x:is>
      </x:c>
      <x:c r="D331" s="17" t="inlineStr">
        <x:is>
          <x:t xml:space="preserve">CASHR</x:t>
        </x:is>
      </x:c>
      <x:c r="E331" s="17" t="inlineStr">
        <x:is>
          <x:t xml:space="preserve">Cash ratio</x:t>
        </x:is>
      </x:c>
      <x:c r="F331" s="20" t="n">
        <x:v>0.3</x:v>
      </x:c>
      <x:c r="G331" s="20" t="n">
        <x:v>1.5</x:v>
      </x:c>
      <x:c r="H331" s="17" t="inlineStr">
        <x:is>
          <x:t xml:space="preserve">x</x:t>
        </x:is>
      </x:c>
      <x:c r="I331" s="17" t="inlineStr">
        <x:is>
          <x:t xml:space="preserve">RANGE</x:t>
        </x:is>
      </x:c>
      <x:c r="J331" s="15" t="inlineStr">
        <x:is>
          <x:t xml:space="preserve">https://www.ohada.org/en/ohada-accounting-law/</x:t>
        </x:is>
      </x:c>
      <x:c r="K331" s="15" t="inlineStr">
        <x:is>
          <x:t xml:space="preserve">Repères génériques. À adapter selon taille/maturité; remplacez par médianes/quartiles sectoriels si disponibles.</x:t>
        </x:is>
      </x:c>
    </x:row>
    <x:row r="332">
      <x:c r="A332" s="17" t="inlineStr">
        <x:is>
          <x:t xml:space="preserve">Zone Comptable OHADA|SaaS|ND_EBITDA</x:t>
        </x:is>
      </x:c>
      <x:c r="B332" s="17" t="inlineStr">
        <x:is>
          <x:t xml:space="preserve">Zone Comptable OHADA</x:t>
        </x:is>
      </x:c>
      <x:c r="C332" s="17" t="inlineStr">
        <x:is>
          <x:t xml:space="preserve">SaaS</x:t>
        </x:is>
      </x:c>
      <x:c r="D332" s="17" t="inlineStr">
        <x:is>
          <x:t xml:space="preserve">ND_EBITDA</x:t>
        </x:is>
      </x:c>
      <x:c r="E332" s="17" t="inlineStr">
        <x:is>
          <x:t xml:space="preserve">Dette nette / EBITDA</x:t>
        </x:is>
      </x:c>
      <x:c r="F332" s="20" t="n">
        <x:v>0</x:v>
      </x:c>
      <x:c r="G332" s="20" t="n">
        <x:v>2.5</x:v>
      </x:c>
      <x:c r="H332" s="17" t="inlineStr">
        <x:is>
          <x:t xml:space="preserve">x</x:t>
        </x:is>
      </x:c>
      <x:c r="I332" s="17" t="inlineStr">
        <x:is>
          <x:t xml:space="preserve">LOW_GOOD</x:t>
        </x:is>
      </x:c>
      <x:c r="J332" s="15" t="inlineStr">
        <x:is>
          <x:t xml:space="preserve">https://www.ohada.org/en/ohada-accounting-law/</x:t>
        </x:is>
      </x:c>
      <x:c r="K332" s="15" t="inlineStr">
        <x:is>
          <x:t xml:space="preserve">Repères génériques. À adapter selon taille/maturité; remplacez par médianes/quartiles sectoriels si disponibles.</x:t>
        </x:is>
      </x:c>
    </x:row>
    <x:row r="333">
      <x:c r="A333" s="17" t="inlineStr">
        <x:is>
          <x:t xml:space="preserve">Zone Comptable OHADA|SaaS|D_E</x:t>
        </x:is>
      </x:c>
      <x:c r="B333" s="17" t="inlineStr">
        <x:is>
          <x:t xml:space="preserve">Zone Comptable OHADA</x:t>
        </x:is>
      </x:c>
      <x:c r="C333" s="17" t="inlineStr">
        <x:is>
          <x:t xml:space="preserve">SaaS</x:t>
        </x:is>
      </x:c>
      <x:c r="D333" s="17" t="inlineStr">
        <x:is>
          <x:t xml:space="preserve">D_E</x:t>
        </x:is>
      </x:c>
      <x:c r="E333" s="17" t="inlineStr">
        <x:is>
          <x:t xml:space="preserve">Dette / CP</x:t>
        </x:is>
      </x:c>
      <x:c r="F333" s="20" t="n">
        <x:v>0</x:v>
      </x:c>
      <x:c r="G333" s="20" t="n">
        <x:v>1</x:v>
      </x:c>
      <x:c r="H333" s="17" t="inlineStr">
        <x:is>
          <x:t xml:space="preserve">x</x:t>
        </x:is>
      </x:c>
      <x:c r="I333" s="17" t="inlineStr">
        <x:is>
          <x:t xml:space="preserve">LOW_GOOD</x:t>
        </x:is>
      </x:c>
      <x:c r="J333" s="15" t="inlineStr">
        <x:is>
          <x:t xml:space="preserve">https://www.ohada.org/en/ohada-accounting-law/</x:t>
        </x:is>
      </x:c>
      <x:c r="K333" s="15" t="inlineStr">
        <x:is>
          <x:t xml:space="preserve">Repères génériques. À adapter selon taille/maturité; remplacez par médianes/quartiles sectoriels si disponibles.</x:t>
        </x:is>
      </x:c>
    </x:row>
    <x:row r="334">
      <x:c r="A334" s="17" t="inlineStr">
        <x:is>
          <x:t xml:space="preserve">Zone Comptable OHADA|SaaS|ICR</x:t>
        </x:is>
      </x:c>
      <x:c r="B334" s="17" t="inlineStr">
        <x:is>
          <x:t xml:space="preserve">Zone Comptable OHADA</x:t>
        </x:is>
      </x:c>
      <x:c r="C334" s="17" t="inlineStr">
        <x:is>
          <x:t xml:space="preserve">SaaS</x:t>
        </x:is>
      </x:c>
      <x:c r="D334" s="17" t="inlineStr">
        <x:is>
          <x:t xml:space="preserve">ICR</x:t>
        </x:is>
      </x:c>
      <x:c r="E334" s="17" t="inlineStr">
        <x:is>
          <x:t xml:space="preserve">Couverture intérêts (EBIT/Intérêts)</x:t>
        </x:is>
      </x:c>
      <x:c r="F334" s="20" t="n">
        <x:v>4</x:v>
      </x:c>
      <x:c r="G334" s="20" t="n">
        <x:v>20</x:v>
      </x:c>
      <x:c r="H334" s="17" t="inlineStr">
        <x:is>
          <x:t xml:space="preserve">x</x:t>
        </x:is>
      </x:c>
      <x:c r="I334" s="17" t="inlineStr">
        <x:is>
          <x:t xml:space="preserve">HIGH_GOOD</x:t>
        </x:is>
      </x:c>
      <x:c r="J334" s="15" t="inlineStr">
        <x:is>
          <x:t xml:space="preserve">https://www.ohada.org/en/ohada-accounting-law/</x:t>
        </x:is>
      </x:c>
      <x:c r="K334" s="15" t="inlineStr">
        <x:is>
          <x:t xml:space="preserve">Repères génériques. À adapter selon taille/maturité; remplacez par médianes/quartiles sectoriels si disponibles.</x:t>
        </x:is>
      </x:c>
    </x:row>
    <x:row r="335">
      <x:c r="A335" s="17" t="inlineStr">
        <x:is>
          <x:t xml:space="preserve">Zone Comptable OHADA|SaaS|DSCR</x:t>
        </x:is>
      </x:c>
      <x:c r="B335" s="17" t="inlineStr">
        <x:is>
          <x:t xml:space="preserve">Zone Comptable OHADA</x:t>
        </x:is>
      </x:c>
      <x:c r="C335" s="17" t="inlineStr">
        <x:is>
          <x:t xml:space="preserve">SaaS</x:t>
        </x:is>
      </x:c>
      <x:c r="D335" s="17" t="inlineStr">
        <x:is>
          <x:t xml:space="preserve">DSCR</x:t>
        </x:is>
      </x:c>
      <x:c r="E335" s="17" t="inlineStr">
        <x:is>
          <x:t xml:space="preserve">DSCR</x:t>
        </x:is>
      </x:c>
      <x:c r="F335" s="20" t="n">
        <x:v>1.3</x:v>
      </x:c>
      <x:c r="G335" s="20" t="n">
        <x:v>4</x:v>
      </x:c>
      <x:c r="H335" s="17" t="inlineStr">
        <x:is>
          <x:t xml:space="preserve">x</x:t>
        </x:is>
      </x:c>
      <x:c r="I335" s="17" t="inlineStr">
        <x:is>
          <x:t xml:space="preserve">HIGH_GOOD</x:t>
        </x:is>
      </x:c>
      <x:c r="J335" s="15" t="inlineStr">
        <x:is>
          <x:t xml:space="preserve">https://www.ohada.org/en/ohada-accounting-law/</x:t>
        </x:is>
      </x:c>
      <x:c r="K335" s="15" t="inlineStr">
        <x:is>
          <x:t xml:space="preserve">Repères génériques. À adapter selon taille/maturité; remplacez par médianes/quartiles sectoriels si disponibles.</x:t>
        </x:is>
      </x:c>
    </x:row>
    <x:row r="336">
      <x:c r="A336" s="17" t="inlineStr">
        <x:is>
          <x:t xml:space="preserve">Zone Comptable OHADA|SaaS|CFO_NI</x:t>
        </x:is>
      </x:c>
      <x:c r="B336" s="17" t="inlineStr">
        <x:is>
          <x:t xml:space="preserve">Zone Comptable OHADA</x:t>
        </x:is>
      </x:c>
      <x:c r="C336" s="17" t="inlineStr">
        <x:is>
          <x:t xml:space="preserve">SaaS</x:t>
        </x:is>
      </x:c>
      <x:c r="D336" s="17" t="inlineStr">
        <x:is>
          <x:t xml:space="preserve">CFO_NI</x:t>
        </x:is>
      </x:c>
      <x:c r="E336" s="17" t="inlineStr">
        <x:is>
          <x:t xml:space="preserve">CFO / RN</x:t>
        </x:is>
      </x:c>
      <x:c r="F336" s="20" t="n">
        <x:v>0.8</x:v>
      </x:c>
      <x:c r="G336" s="20" t="n">
        <x:v>2</x:v>
      </x:c>
      <x:c r="H336" s="17" t="inlineStr">
        <x:is>
          <x:t xml:space="preserve">x</x:t>
        </x:is>
      </x:c>
      <x:c r="I336" s="17" t="inlineStr">
        <x:is>
          <x:t xml:space="preserve">HIGH_GOOD</x:t>
        </x:is>
      </x:c>
      <x:c r="J336" s="15" t="inlineStr">
        <x:is>
          <x:t xml:space="preserve">https://www.ohada.org/en/ohada-accounting-law/</x:t>
        </x:is>
      </x:c>
      <x:c r="K336" s="15" t="inlineStr">
        <x:is>
          <x:t xml:space="preserve">Repères génériques. À adapter selon taille/maturité; remplacez par médianes/quartiles sectoriels si disponibles.</x:t>
        </x:is>
      </x:c>
    </x:row>
    <x:row r="337">
      <x:c r="A337" s="17" t="inlineStr">
        <x:is>
          <x:t xml:space="preserve">Zone Comptable OHADA|SaaS|ROA</x:t>
        </x:is>
      </x:c>
      <x:c r="B337" s="17" t="inlineStr">
        <x:is>
          <x:t xml:space="preserve">Zone Comptable OHADA</x:t>
        </x:is>
      </x:c>
      <x:c r="C337" s="17" t="inlineStr">
        <x:is>
          <x:t xml:space="preserve">SaaS</x:t>
        </x:is>
      </x:c>
      <x:c r="D337" s="17" t="inlineStr">
        <x:is>
          <x:t xml:space="preserve">ROA</x:t>
        </x:is>
      </x:c>
      <x:c r="E337" s="17" t="inlineStr">
        <x:is>
          <x:t xml:space="preserve">ROA</x:t>
        </x:is>
      </x:c>
      <x:c r="F337" s="18" t="n">
        <x:v>0.02</x:v>
      </x:c>
      <x:c r="G337" s="18" t="n">
        <x:v>0.1</x:v>
      </x:c>
      <x:c r="H337" s="17" t="inlineStr">
        <x:is>
          <x:t xml:space="preserve">%</x:t>
        </x:is>
      </x:c>
      <x:c r="I337" s="17" t="inlineStr">
        <x:is>
          <x:t xml:space="preserve">HIGH_GOOD</x:t>
        </x:is>
      </x:c>
      <x:c r="J337" s="15" t="inlineStr">
        <x:is>
          <x:t xml:space="preserve">https://www.ohada.org/en/ohada-accounting-law/</x:t>
        </x:is>
      </x:c>
      <x:c r="K337" s="15" t="inlineStr">
        <x:is>
          <x:t xml:space="preserve">Repères génériques. À adapter selon taille/maturité; remplacez par médianes/quartiles sectoriels si disponibles.</x:t>
        </x:is>
      </x:c>
    </x:row>
    <x:row r="338">
      <x:c r="A338" s="17" t="inlineStr">
        <x:is>
          <x:t xml:space="preserve">Zone Comptable OHADA|SaaS|ROE</x:t>
        </x:is>
      </x:c>
      <x:c r="B338" s="17" t="inlineStr">
        <x:is>
          <x:t xml:space="preserve">Zone Comptable OHADA</x:t>
        </x:is>
      </x:c>
      <x:c r="C338" s="17" t="inlineStr">
        <x:is>
          <x:t xml:space="preserve">SaaS</x:t>
        </x:is>
      </x:c>
      <x:c r="D338" s="17" t="inlineStr">
        <x:is>
          <x:t xml:space="preserve">ROE</x:t>
        </x:is>
      </x:c>
      <x:c r="E338" s="17" t="inlineStr">
        <x:is>
          <x:t xml:space="preserve">ROE</x:t>
        </x:is>
      </x:c>
      <x:c r="F338" s="18" t="n">
        <x:v>0.08</x:v>
      </x:c>
      <x:c r="G338" s="18" t="n">
        <x:v>0.25</x:v>
      </x:c>
      <x:c r="H338" s="17" t="inlineStr">
        <x:is>
          <x:t xml:space="preserve">%</x:t>
        </x:is>
      </x:c>
      <x:c r="I338" s="17" t="inlineStr">
        <x:is>
          <x:t xml:space="preserve">HIGH_GOOD</x:t>
        </x:is>
      </x:c>
      <x:c r="J338" s="15" t="inlineStr">
        <x:is>
          <x:t xml:space="preserve">https://www.ohada.org/en/ohada-accounting-law/</x:t>
        </x:is>
      </x:c>
      <x:c r="K338" s="15" t="inlineStr">
        <x:is>
          <x:t xml:space="preserve">Repères génériques. À adapter selon taille/maturité; remplacez par médianes/quartiles sectoriels si disponibles.</x:t>
        </x:is>
      </x:c>
    </x:row>
    <x:row r="339">
      <x:c r="A339" s="17" t="inlineStr">
        <x:is>
          <x:t xml:space="preserve">Zone Comptable OHADA|SaaS|ROCE</x:t>
        </x:is>
      </x:c>
      <x:c r="B339" s="17" t="inlineStr">
        <x:is>
          <x:t xml:space="preserve">Zone Comptable OHADA</x:t>
        </x:is>
      </x:c>
      <x:c r="C339" s="17" t="inlineStr">
        <x:is>
          <x:t xml:space="preserve">SaaS</x:t>
        </x:is>
      </x:c>
      <x:c r="D339" s="17" t="inlineStr">
        <x:is>
          <x:t xml:space="preserve">ROCE</x:t>
        </x:is>
      </x:c>
      <x:c r="E339" s="17" t="inlineStr">
        <x:is>
          <x:t xml:space="preserve">ROCE</x:t>
        </x:is>
      </x:c>
      <x:c r="F339" s="18" t="n">
        <x:v>0.08</x:v>
      </x:c>
      <x:c r="G339" s="18" t="n">
        <x:v>0.25</x:v>
      </x:c>
      <x:c r="H339" s="17" t="inlineStr">
        <x:is>
          <x:t xml:space="preserve">%</x:t>
        </x:is>
      </x:c>
      <x:c r="I339" s="17" t="inlineStr">
        <x:is>
          <x:t xml:space="preserve">HIGH_GOOD</x:t>
        </x:is>
      </x:c>
      <x:c r="J339" s="15" t="inlineStr">
        <x:is>
          <x:t xml:space="preserve">https://www.ohada.org/en/ohada-accounting-law/</x:t>
        </x:is>
      </x:c>
      <x:c r="K339" s="15" t="inlineStr">
        <x:is>
          <x:t xml:space="preserve">Repères génériques. À adapter selon taille/maturité; remplacez par médianes/quartiles sectoriels si disponibles.</x:t>
        </x:is>
      </x:c>
    </x:row>
    <x:row r="340">
      <x:c r="A340" s="17" t="inlineStr">
        <x:is>
          <x:t xml:space="preserve">Zone Comptable OHADA|Construction|M_GROSS</x:t>
        </x:is>
      </x:c>
      <x:c r="B340" s="17" t="inlineStr">
        <x:is>
          <x:t xml:space="preserve">Zone Comptable OHADA</x:t>
        </x:is>
      </x:c>
      <x:c r="C340" s="17" t="inlineStr">
        <x:is>
          <x:t xml:space="preserve">Construction</x:t>
        </x:is>
      </x:c>
      <x:c r="D340" s="17" t="inlineStr">
        <x:is>
          <x:t xml:space="preserve">M_GROSS</x:t>
        </x:is>
      </x:c>
      <x:c r="E340" s="17" t="inlineStr">
        <x:is>
          <x:t xml:space="preserve">Marge brute</x:t>
        </x:is>
      </x:c>
      <x:c r="F340" s="18" t="n">
        <x:v>0.1</x:v>
      </x:c>
      <x:c r="G340" s="18" t="n">
        <x:v>0.25</x:v>
      </x:c>
      <x:c r="H340" s="17" t="inlineStr">
        <x:is>
          <x:t xml:space="preserve">%</x:t>
        </x:is>
      </x:c>
      <x:c r="I340" s="17" t="inlineStr">
        <x:is>
          <x:t xml:space="preserve">HIGH_GOOD</x:t>
        </x:is>
      </x:c>
      <x:c r="J340" s="15" t="inlineStr">
        <x:is>
          <x:t xml:space="preserve">https://www.ohada.org/en/ohada-accounting-law/</x:t>
        </x:is>
      </x:c>
      <x:c r="K340" s="15" t="inlineStr">
        <x:is>
          <x:t xml:space="preserve">Repères génériques. À adapter selon taille/maturité; remplacez par médianes/quartiles sectoriels si disponibles.</x:t>
        </x:is>
      </x:c>
    </x:row>
    <x:row r="341">
      <x:c r="A341" s="17" t="inlineStr">
        <x:is>
          <x:t xml:space="preserve">Zone Comptable OHADA|Construction|M_EBITDA</x:t>
        </x:is>
      </x:c>
      <x:c r="B341" s="17" t="inlineStr">
        <x:is>
          <x:t xml:space="preserve">Zone Comptable OHADA</x:t>
        </x:is>
      </x:c>
      <x:c r="C341" s="17" t="inlineStr">
        <x:is>
          <x:t xml:space="preserve">Construction</x:t>
        </x:is>
      </x:c>
      <x:c r="D341" s="17" t="inlineStr">
        <x:is>
          <x:t xml:space="preserve">M_EBITDA</x:t>
        </x:is>
      </x:c>
      <x:c r="E341" s="17" t="inlineStr">
        <x:is>
          <x:t xml:space="preserve">Marge EBITDA</x:t>
        </x:is>
      </x:c>
      <x:c r="F341" s="18" t="n">
        <x:v>0.03</x:v>
      </x:c>
      <x:c r="G341" s="18" t="n">
        <x:v>0.1</x:v>
      </x:c>
      <x:c r="H341" s="17" t="inlineStr">
        <x:is>
          <x:t xml:space="preserve">%</x:t>
        </x:is>
      </x:c>
      <x:c r="I341" s="17" t="inlineStr">
        <x:is>
          <x:t xml:space="preserve">HIGH_GOOD</x:t>
        </x:is>
      </x:c>
      <x:c r="J341" s="15" t="inlineStr">
        <x:is>
          <x:t xml:space="preserve">https://www.ohada.org/en/ohada-accounting-law/</x:t>
        </x:is>
      </x:c>
      <x:c r="K341" s="15" t="inlineStr">
        <x:is>
          <x:t xml:space="preserve">Repères génériques. À adapter selon taille/maturité; remplacez par médianes/quartiles sectoriels si disponibles.</x:t>
        </x:is>
      </x:c>
    </x:row>
    <x:row r="342">
      <x:c r="A342" s="17" t="inlineStr">
        <x:is>
          <x:t xml:space="preserve">Zone Comptable OHADA|Construction|M_EBIT</x:t>
        </x:is>
      </x:c>
      <x:c r="B342" s="17" t="inlineStr">
        <x:is>
          <x:t xml:space="preserve">Zone Comptable OHADA</x:t>
        </x:is>
      </x:c>
      <x:c r="C342" s="17" t="inlineStr">
        <x:is>
          <x:t xml:space="preserve">Construction</x:t>
        </x:is>
      </x:c>
      <x:c r="D342" s="17" t="inlineStr">
        <x:is>
          <x:t xml:space="preserve">M_EBIT</x:t>
        </x:is>
      </x:c>
      <x:c r="E342" s="17" t="inlineStr">
        <x:is>
          <x:t xml:space="preserve">Marge EBIT</x:t>
        </x:is>
      </x:c>
      <x:c r="F342" s="18" t="n">
        <x:v>0.02</x:v>
      </x:c>
      <x:c r="G342" s="18" t="n">
        <x:v>0.07000000000000001</x:v>
      </x:c>
      <x:c r="H342" s="17" t="inlineStr">
        <x:is>
          <x:t xml:space="preserve">%</x:t>
        </x:is>
      </x:c>
      <x:c r="I342" s="17" t="inlineStr">
        <x:is>
          <x:t xml:space="preserve">HIGH_GOOD</x:t>
        </x:is>
      </x:c>
      <x:c r="J342" s="15" t="inlineStr">
        <x:is>
          <x:t xml:space="preserve">https://www.ohada.org/en/ohada-accounting-law/</x:t>
        </x:is>
      </x:c>
      <x:c r="K342" s="15" t="inlineStr">
        <x:is>
          <x:t xml:space="preserve">Repères génériques. À adapter selon taille/maturité; remplacez par médianes/quartiles sectoriels si disponibles.</x:t>
        </x:is>
      </x:c>
    </x:row>
    <x:row r="343">
      <x:c r="A343" s="17" t="inlineStr">
        <x:is>
          <x:t xml:space="preserve">Zone Comptable OHADA|Construction|M_NET</x:t>
        </x:is>
      </x:c>
      <x:c r="B343" s="17" t="inlineStr">
        <x:is>
          <x:t xml:space="preserve">Zone Comptable OHADA</x:t>
        </x:is>
      </x:c>
      <x:c r="C343" s="17" t="inlineStr">
        <x:is>
          <x:t xml:space="preserve">Construction</x:t>
        </x:is>
      </x:c>
      <x:c r="D343" s="17" t="inlineStr">
        <x:is>
          <x:t xml:space="preserve">M_NET</x:t>
        </x:is>
      </x:c>
      <x:c r="E343" s="17" t="inlineStr">
        <x:is>
          <x:t xml:space="preserve">Marge nette</x:t>
        </x:is>
      </x:c>
      <x:c r="F343" s="18" t="n">
        <x:v>0.01</x:v>
      </x:c>
      <x:c r="G343" s="18" t="n">
        <x:v>0.04</x:v>
      </x:c>
      <x:c r="H343" s="17" t="inlineStr">
        <x:is>
          <x:t xml:space="preserve">%</x:t>
        </x:is>
      </x:c>
      <x:c r="I343" s="17" t="inlineStr">
        <x:is>
          <x:t xml:space="preserve">HIGH_GOOD</x:t>
        </x:is>
      </x:c>
      <x:c r="J343" s="15" t="inlineStr">
        <x:is>
          <x:t xml:space="preserve">https://www.ohada.org/en/ohada-accounting-law/</x:t>
        </x:is>
      </x:c>
      <x:c r="K343" s="15" t="inlineStr">
        <x:is>
          <x:t xml:space="preserve">Repères génériques. À adapter selon taille/maturité; remplacez par médianes/quartiles sectoriels si disponibles.</x:t>
        </x:is>
      </x:c>
    </x:row>
    <x:row r="344">
      <x:c r="A344" s="17" t="inlineStr">
        <x:is>
          <x:t xml:space="preserve">Zone Comptable OHADA|Construction|G_REV</x:t>
        </x:is>
      </x:c>
      <x:c r="B344" s="17" t="inlineStr">
        <x:is>
          <x:t xml:space="preserve">Zone Comptable OHADA</x:t>
        </x:is>
      </x:c>
      <x:c r="C344" s="17" t="inlineStr">
        <x:is>
          <x:t xml:space="preserve">Construction</x:t>
        </x:is>
      </x:c>
      <x:c r="D344" s="17" t="inlineStr">
        <x:is>
          <x:t xml:space="preserve">G_REV</x:t>
        </x:is>
      </x:c>
      <x:c r="E344" s="17" t="inlineStr">
        <x:is>
          <x:t xml:space="preserve">Croissance CA</x:t>
        </x:is>
      </x:c>
      <x:c r="F344" s="18" t="n">
        <x:v>-0.05</x:v>
      </x:c>
      <x:c r="G344" s="18" t="n">
        <x:v>0.15</x:v>
      </x:c>
      <x:c r="H344" s="17" t="inlineStr">
        <x:is>
          <x:t xml:space="preserve">%</x:t>
        </x:is>
      </x:c>
      <x:c r="I344" s="17" t="inlineStr">
        <x:is>
          <x:t xml:space="preserve">HIGH_GOOD</x:t>
        </x:is>
      </x:c>
      <x:c r="J344" s="15" t="inlineStr">
        <x:is>
          <x:t xml:space="preserve">https://www.ohada.org/en/ohada-accounting-law/</x:t>
        </x:is>
      </x:c>
      <x:c r="K344" s="15" t="inlineStr">
        <x:is>
          <x:t xml:space="preserve">Repères génériques. À adapter selon taille/maturité; remplacez par médianes/quartiles sectoriels si disponibles.</x:t>
        </x:is>
      </x:c>
    </x:row>
    <x:row r="345">
      <x:c r="A345" s="17" t="inlineStr">
        <x:is>
          <x:t xml:space="preserve">Zone Comptable OHADA|Construction|G_NI</x:t>
        </x:is>
      </x:c>
      <x:c r="B345" s="17" t="inlineStr">
        <x:is>
          <x:t xml:space="preserve">Zone Comptable OHADA</x:t>
        </x:is>
      </x:c>
      <x:c r="C345" s="17" t="inlineStr">
        <x:is>
          <x:t xml:space="preserve">Construction</x:t>
        </x:is>
      </x:c>
      <x:c r="D345" s="17" t="inlineStr">
        <x:is>
          <x:t xml:space="preserve">G_NI</x:t>
        </x:is>
      </x:c>
      <x:c r="E345" s="17" t="inlineStr">
        <x:is>
          <x:t xml:space="preserve">Croissance RN</x:t>
        </x:is>
      </x:c>
      <x:c r="F345" s="18" t="n">
        <x:v>-0.15</x:v>
      </x:c>
      <x:c r="G345" s="18" t="n">
        <x:v>0.15</x:v>
      </x:c>
      <x:c r="H345" s="17" t="inlineStr">
        <x:is>
          <x:t xml:space="preserve">%</x:t>
        </x:is>
      </x:c>
      <x:c r="I345" s="17" t="inlineStr">
        <x:is>
          <x:t xml:space="preserve">HIGH_GOOD</x:t>
        </x:is>
      </x:c>
      <x:c r="J345" s="15" t="inlineStr">
        <x:is>
          <x:t xml:space="preserve">https://www.ohada.org/en/ohada-accounting-law/</x:t>
        </x:is>
      </x:c>
      <x:c r="K345" s="15" t="inlineStr">
        <x:is>
          <x:t xml:space="preserve">Repères génériques. À adapter selon taille/maturité; remplacez par médianes/quartiles sectoriels si disponibles.</x:t>
        </x:is>
      </x:c>
    </x:row>
    <x:row r="346">
      <x:c r="A346" s="17" t="inlineStr">
        <x:is>
          <x:t xml:space="preserve">Zone Comptable OHADA|Construction|D_INV</x:t>
        </x:is>
      </x:c>
      <x:c r="B346" s="17" t="inlineStr">
        <x:is>
          <x:t xml:space="preserve">Zone Comptable OHADA</x:t>
        </x:is>
      </x:c>
      <x:c r="C346" s="17" t="inlineStr">
        <x:is>
          <x:t xml:space="preserve">Construction</x:t>
        </x:is>
      </x:c>
      <x:c r="D346" s="17" t="inlineStr">
        <x:is>
          <x:t xml:space="preserve">D_INV</x:t>
        </x:is>
      </x:c>
      <x:c r="E346" s="17" t="inlineStr">
        <x:is>
          <x:t xml:space="preserve">Jours de stocks</x:t>
        </x:is>
      </x:c>
      <x:c r="F346" s="26" t="n">
        <x:v>5</x:v>
      </x:c>
      <x:c r="G346" s="26" t="n">
        <x:v>40</x:v>
      </x:c>
      <x:c r="H346" s="17" t="inlineStr">
        <x:is>
          <x:t xml:space="preserve">jours</x:t>
        </x:is>
      </x:c>
      <x:c r="I346" s="17" t="inlineStr">
        <x:is>
          <x:t xml:space="preserve">LOW_GOOD</x:t>
        </x:is>
      </x:c>
      <x:c r="J346" s="15" t="inlineStr">
        <x:is>
          <x:t xml:space="preserve">https://www.ohada.org/en/ohada-accounting-law/</x:t>
        </x:is>
      </x:c>
      <x:c r="K346" s="15" t="inlineStr">
        <x:is>
          <x:t xml:space="preserve">Repères génériques. À adapter selon taille/maturité; remplacez par médianes/quartiles sectoriels si disponibles.</x:t>
        </x:is>
      </x:c>
    </x:row>
    <x:row r="347">
      <x:c r="A347" s="17" t="inlineStr">
        <x:is>
          <x:t xml:space="preserve">Zone Comptable OHADA|Construction|DSO</x:t>
        </x:is>
      </x:c>
      <x:c r="B347" s="17" t="inlineStr">
        <x:is>
          <x:t xml:space="preserve">Zone Comptable OHADA</x:t>
        </x:is>
      </x:c>
      <x:c r="C347" s="17" t="inlineStr">
        <x:is>
          <x:t xml:space="preserve">Construction</x:t>
        </x:is>
      </x:c>
      <x:c r="D347" s="17" t="inlineStr">
        <x:is>
          <x:t xml:space="preserve">DSO</x:t>
        </x:is>
      </x:c>
      <x:c r="E347" s="17" t="inlineStr">
        <x:is>
          <x:t xml:space="preserve">DSO (jours clients)</x:t>
        </x:is>
      </x:c>
      <x:c r="F347" s="26" t="n">
        <x:v>60</x:v>
      </x:c>
      <x:c r="G347" s="26" t="n">
        <x:v>140</x:v>
      </x:c>
      <x:c r="H347" s="17" t="inlineStr">
        <x:is>
          <x:t xml:space="preserve">jours</x:t>
        </x:is>
      </x:c>
      <x:c r="I347" s="17" t="inlineStr">
        <x:is>
          <x:t xml:space="preserve">LOW_GOOD</x:t>
        </x:is>
      </x:c>
      <x:c r="J347" s="15" t="inlineStr">
        <x:is>
          <x:t xml:space="preserve">https://www.ohada.org/en/ohada-accounting-law/</x:t>
        </x:is>
      </x:c>
      <x:c r="K347" s="15" t="inlineStr">
        <x:is>
          <x:t xml:space="preserve">Repère prudente. À calibrer avec comparables locaux.</x:t>
        </x:is>
      </x:c>
    </x:row>
    <x:row r="348">
      <x:c r="A348" s="17" t="inlineStr">
        <x:is>
          <x:t xml:space="preserve">Zone Comptable OHADA|Construction|DPO</x:t>
        </x:is>
      </x:c>
      <x:c r="B348" s="17" t="inlineStr">
        <x:is>
          <x:t xml:space="preserve">Zone Comptable OHADA</x:t>
        </x:is>
      </x:c>
      <x:c r="C348" s="17" t="inlineStr">
        <x:is>
          <x:t xml:space="preserve">Construction</x:t>
        </x:is>
      </x:c>
      <x:c r="D348" s="17" t="inlineStr">
        <x:is>
          <x:t xml:space="preserve">DPO</x:t>
        </x:is>
      </x:c>
      <x:c r="E348" s="17" t="inlineStr">
        <x:is>
          <x:t xml:space="preserve">DPO (jours fournisseurs)</x:t>
        </x:is>
      </x:c>
      <x:c r="F348" s="26" t="n">
        <x:v>45</x:v>
      </x:c>
      <x:c r="G348" s="26" t="n">
        <x:v>120</x:v>
      </x:c>
      <x:c r="H348" s="17" t="inlineStr">
        <x:is>
          <x:t xml:space="preserve">jours</x:t>
        </x:is>
      </x:c>
      <x:c r="I348" s="17" t="inlineStr">
        <x:is>
          <x:t xml:space="preserve">RANGE</x:t>
        </x:is>
      </x:c>
      <x:c r="J348" s="15" t="inlineStr">
        <x:is>
          <x:t xml:space="preserve">https://www.ohada.org/en/ohada-accounting-law/</x:t>
        </x:is>
      </x:c>
      <x:c r="K348" s="15" t="inlineStr">
        <x:is>
          <x:t xml:space="preserve">Repères génériques. À adapter selon taille/maturité; remplacez par médianes/quartiles sectoriels si disponibles.</x:t>
        </x:is>
      </x:c>
    </x:row>
    <x:row r="349">
      <x:c r="A349" s="17" t="inlineStr">
        <x:is>
          <x:t xml:space="preserve">Zone Comptable OHADA|Construction|CCC</x:t>
        </x:is>
      </x:c>
      <x:c r="B349" s="17" t="inlineStr">
        <x:is>
          <x:t xml:space="preserve">Zone Comptable OHADA</x:t>
        </x:is>
      </x:c>
      <x:c r="C349" s="17" t="inlineStr">
        <x:is>
          <x:t xml:space="preserve">Construction</x:t>
        </x:is>
      </x:c>
      <x:c r="D349" s="17" t="inlineStr">
        <x:is>
          <x:t xml:space="preserve">CCC</x:t>
        </x:is>
      </x:c>
      <x:c r="E349" s="17" t="inlineStr">
        <x:is>
          <x:t xml:space="preserve">Cycle de conversion cash (jours)</x:t>
        </x:is>
      </x:c>
      <x:c r="F349" s="26" t="n">
        <x:v>10</x:v>
      </x:c>
      <x:c r="G349" s="26" t="n">
        <x:v>120</x:v>
      </x:c>
      <x:c r="H349" s="17" t="inlineStr">
        <x:is>
          <x:t xml:space="preserve">jours</x:t>
        </x:is>
      </x:c>
      <x:c r="I349" s="17" t="inlineStr">
        <x:is>
          <x:t xml:space="preserve">LOW_GOOD</x:t>
        </x:is>
      </x:c>
      <x:c r="J349" s="15" t="inlineStr">
        <x:is>
          <x:t xml:space="preserve">https://www.ohada.org/en/ohada-accounting-law/</x:t>
        </x:is>
      </x:c>
      <x:c r="K349" s="15" t="inlineStr">
        <x:is>
          <x:t xml:space="preserve">Repère prudente. À calibrer avec comparables locaux.</x:t>
        </x:is>
      </x:c>
    </x:row>
    <x:row r="350">
      <x:c r="A350" s="17" t="inlineStr">
        <x:is>
          <x:t xml:space="preserve">Zone Comptable OHADA|Construction|BFR_REV</x:t>
        </x:is>
      </x:c>
      <x:c r="B350" s="17" t="inlineStr">
        <x:is>
          <x:t xml:space="preserve">Zone Comptable OHADA</x:t>
        </x:is>
      </x:c>
      <x:c r="C350" s="17" t="inlineStr">
        <x:is>
          <x:t xml:space="preserve">Construction</x:t>
        </x:is>
      </x:c>
      <x:c r="D350" s="17" t="inlineStr">
        <x:is>
          <x:t xml:space="preserve">BFR_REV</x:t>
        </x:is>
      </x:c>
      <x:c r="E350" s="17" t="inlineStr">
        <x:is>
          <x:t xml:space="preserve">BFR / CA</x:t>
        </x:is>
      </x:c>
      <x:c r="F350" s="18" t="n">
        <x:v>0.05</x:v>
      </x:c>
      <x:c r="G350" s="18" t="n">
        <x:v>0.3</x:v>
      </x:c>
      <x:c r="H350" s="17" t="inlineStr">
        <x:is>
          <x:t xml:space="preserve">%</x:t>
        </x:is>
      </x:c>
      <x:c r="I350" s="17" t="inlineStr">
        <x:is>
          <x:t xml:space="preserve">RANGE</x:t>
        </x:is>
      </x:c>
      <x:c r="J350" s="15" t="inlineStr">
        <x:is>
          <x:t xml:space="preserve">https://www.ohada.org/en/ohada-accounting-law/</x:t>
        </x:is>
      </x:c>
      <x:c r="K350" s="15" t="inlineStr">
        <x:is>
          <x:t xml:space="preserve">Repères génériques. À adapter selon taille/maturité; remplacez par médianes/quartiles sectoriels si disponibles.</x:t>
        </x:is>
      </x:c>
    </x:row>
    <x:row r="351">
      <x:c r="A351" s="17" t="inlineStr">
        <x:is>
          <x:t xml:space="preserve">Zone Comptable OHADA|Construction|EQ_RATIO</x:t>
        </x:is>
      </x:c>
      <x:c r="B351" s="17" t="inlineStr">
        <x:is>
          <x:t xml:space="preserve">Zone Comptable OHADA</x:t>
        </x:is>
      </x:c>
      <x:c r="C351" s="17" t="inlineStr">
        <x:is>
          <x:t xml:space="preserve">Construction</x:t>
        </x:is>
      </x:c>
      <x:c r="D351" s="17" t="inlineStr">
        <x:is>
          <x:t xml:space="preserve">EQ_RATIO</x:t>
        </x:is>
      </x:c>
      <x:c r="E351" s="17" t="inlineStr">
        <x:is>
          <x:t xml:space="preserve">Autonomie financière (CP/Total bilan)</x:t>
        </x:is>
      </x:c>
      <x:c r="F351" s="18" t="n">
        <x:v>0.25</x:v>
      </x:c>
      <x:c r="G351" s="18" t="n">
        <x:v>0.55</x:v>
      </x:c>
      <x:c r="H351" s="17" t="inlineStr">
        <x:is>
          <x:t xml:space="preserve">%</x:t>
        </x:is>
      </x:c>
      <x:c r="I351" s="17" t="inlineStr">
        <x:is>
          <x:t xml:space="preserve">HIGH_GOOD</x:t>
        </x:is>
      </x:c>
      <x:c r="J351" s="15" t="inlineStr">
        <x:is>
          <x:t xml:space="preserve">https://www.ohada.org/en/ohada-accounting-law/</x:t>
        </x:is>
      </x:c>
      <x:c r="K351" s="15" t="inlineStr">
        <x:is>
          <x:t xml:space="preserve">Repères génériques. À adapter selon taille/maturité; remplacez par médianes/quartiles sectoriels si disponibles.</x:t>
        </x:is>
      </x:c>
    </x:row>
    <x:row r="352">
      <x:c r="A352" s="17" t="inlineStr">
        <x:is>
          <x:t xml:space="preserve">Zone Comptable OHADA|Construction|GEARING</x:t>
        </x:is>
      </x:c>
      <x:c r="B352" s="17" t="inlineStr">
        <x:is>
          <x:t xml:space="preserve">Zone Comptable OHADA</x:t>
        </x:is>
      </x:c>
      <x:c r="C352" s="17" t="inlineStr">
        <x:is>
          <x:t xml:space="preserve">Construction</x:t>
        </x:is>
      </x:c>
      <x:c r="D352" s="17" t="inlineStr">
        <x:is>
          <x:t xml:space="preserve">GEARING</x:t>
        </x:is>
      </x:c>
      <x:c r="E352" s="17" t="inlineStr">
        <x:is>
          <x:t xml:space="preserve">Gearing (Dette nette/CP)</x:t>
        </x:is>
      </x:c>
      <x:c r="F352" s="20" t="n">
        <x:v>0</x:v>
      </x:c>
      <x:c r="G352" s="20" t="n">
        <x:v>1.2</x:v>
      </x:c>
      <x:c r="H352" s="17" t="inlineStr">
        <x:is>
          <x:t xml:space="preserve">x</x:t>
        </x:is>
      </x:c>
      <x:c r="I352" s="17" t="inlineStr">
        <x:is>
          <x:t xml:space="preserve">LOW_GOOD</x:t>
        </x:is>
      </x:c>
      <x:c r="J352" s="15" t="inlineStr">
        <x:is>
          <x:t xml:space="preserve">https://www.ohada.org/en/ohada-accounting-law/</x:t>
        </x:is>
      </x:c>
      <x:c r="K352" s="15" t="inlineStr">
        <x:is>
          <x:t xml:space="preserve">Repères génériques. À adapter selon taille/maturité; remplacez par médianes/quartiles sectoriels si disponibles.</x:t>
        </x:is>
      </x:c>
    </x:row>
    <x:row r="353">
      <x:c r="A353" s="17" t="inlineStr">
        <x:is>
          <x:t xml:space="preserve">Zone Comptable OHADA|Construction|CURR</x:t>
        </x:is>
      </x:c>
      <x:c r="B353" s="17" t="inlineStr">
        <x:is>
          <x:t xml:space="preserve">Zone Comptable OHADA</x:t>
        </x:is>
      </x:c>
      <x:c r="C353" s="17" t="inlineStr">
        <x:is>
          <x:t xml:space="preserve">Construction</x:t>
        </x:is>
      </x:c>
      <x:c r="D353" s="17" t="inlineStr">
        <x:is>
          <x:t xml:space="preserve">CURR</x:t>
        </x:is>
      </x:c>
      <x:c r="E353" s="17" t="inlineStr">
        <x:is>
          <x:t xml:space="preserve">Current ratio</x:t>
        </x:is>
      </x:c>
      <x:c r="F353" s="20" t="n">
        <x:v>1.1</x:v>
      </x:c>
      <x:c r="G353" s="20" t="n">
        <x:v>2</x:v>
      </x:c>
      <x:c r="H353" s="17" t="inlineStr">
        <x:is>
          <x:t xml:space="preserve">x</x:t>
        </x:is>
      </x:c>
      <x:c r="I353" s="17" t="inlineStr">
        <x:is>
          <x:t xml:space="preserve">RANGE</x:t>
        </x:is>
      </x:c>
      <x:c r="J353" s="15" t="inlineStr">
        <x:is>
          <x:t xml:space="preserve">https://www.ohada.org/en/ohada-accounting-law/</x:t>
        </x:is>
      </x:c>
      <x:c r="K353" s="15" t="inlineStr">
        <x:is>
          <x:t xml:space="preserve">Repères génériques. À adapter selon taille/maturité; remplacez par médianes/quartiles sectoriels si disponibles.</x:t>
        </x:is>
      </x:c>
    </x:row>
    <x:row r="354">
      <x:c r="A354" s="17" t="inlineStr">
        <x:is>
          <x:t xml:space="preserve">Zone Comptable OHADA|Construction|QUICK</x:t>
        </x:is>
      </x:c>
      <x:c r="B354" s="17" t="inlineStr">
        <x:is>
          <x:t xml:space="preserve">Zone Comptable OHADA</x:t>
        </x:is>
      </x:c>
      <x:c r="C354" s="17" t="inlineStr">
        <x:is>
          <x:t xml:space="preserve">Construction</x:t>
        </x:is>
      </x:c>
      <x:c r="D354" s="17" t="inlineStr">
        <x:is>
          <x:t xml:space="preserve">QUICK</x:t>
        </x:is>
      </x:c>
      <x:c r="E354" s="17" t="inlineStr">
        <x:is>
          <x:t xml:space="preserve">Quick ratio</x:t>
        </x:is>
      </x:c>
      <x:c r="F354" s="20" t="n">
        <x:v>0.9</x:v>
      </x:c>
      <x:c r="G354" s="20" t="n">
        <x:v>1.6</x:v>
      </x:c>
      <x:c r="H354" s="17" t="inlineStr">
        <x:is>
          <x:t xml:space="preserve">x</x:t>
        </x:is>
      </x:c>
      <x:c r="I354" s="17" t="inlineStr">
        <x:is>
          <x:t xml:space="preserve">RANGE</x:t>
        </x:is>
      </x:c>
      <x:c r="J354" s="15" t="inlineStr">
        <x:is>
          <x:t xml:space="preserve">https://www.ohada.org/en/ohada-accounting-law/</x:t>
        </x:is>
      </x:c>
      <x:c r="K354" s="15" t="inlineStr">
        <x:is>
          <x:t xml:space="preserve">Repères génériques. À adapter selon taille/maturité; remplacez par médianes/quartiles sectoriels si disponibles.</x:t>
        </x:is>
      </x:c>
    </x:row>
    <x:row r="355">
      <x:c r="A355" s="17" t="inlineStr">
        <x:is>
          <x:t xml:space="preserve">Zone Comptable OHADA|Construction|CASHR</x:t>
        </x:is>
      </x:c>
      <x:c r="B355" s="17" t="inlineStr">
        <x:is>
          <x:t xml:space="preserve">Zone Comptable OHADA</x:t>
        </x:is>
      </x:c>
      <x:c r="C355" s="17" t="inlineStr">
        <x:is>
          <x:t xml:space="preserve">Construction</x:t>
        </x:is>
      </x:c>
      <x:c r="D355" s="17" t="inlineStr">
        <x:is>
          <x:t xml:space="preserve">CASHR</x:t>
        </x:is>
      </x:c>
      <x:c r="E355" s="17" t="inlineStr">
        <x:is>
          <x:t xml:space="preserve">Cash ratio</x:t>
        </x:is>
      </x:c>
      <x:c r="F355" s="20" t="n">
        <x:v>0.15</x:v>
      </x:c>
      <x:c r="G355" s="20" t="n">
        <x:v>0.7</x:v>
      </x:c>
      <x:c r="H355" s="17" t="inlineStr">
        <x:is>
          <x:t xml:space="preserve">x</x:t>
        </x:is>
      </x:c>
      <x:c r="I355" s="17" t="inlineStr">
        <x:is>
          <x:t xml:space="preserve">RANGE</x:t>
        </x:is>
      </x:c>
      <x:c r="J355" s="15" t="inlineStr">
        <x:is>
          <x:t xml:space="preserve">https://www.ohada.org/en/ohada-accounting-law/</x:t>
        </x:is>
      </x:c>
      <x:c r="K355" s="15" t="inlineStr">
        <x:is>
          <x:t xml:space="preserve">Repères génériques. À adapter selon taille/maturité; remplacez par médianes/quartiles sectoriels si disponibles.</x:t>
        </x:is>
      </x:c>
    </x:row>
    <x:row r="356">
      <x:c r="A356" s="17" t="inlineStr">
        <x:is>
          <x:t xml:space="preserve">Zone Comptable OHADA|Construction|ND_EBITDA</x:t>
        </x:is>
      </x:c>
      <x:c r="B356" s="17" t="inlineStr">
        <x:is>
          <x:t xml:space="preserve">Zone Comptable OHADA</x:t>
        </x:is>
      </x:c>
      <x:c r="C356" s="17" t="inlineStr">
        <x:is>
          <x:t xml:space="preserve">Construction</x:t>
        </x:is>
      </x:c>
      <x:c r="D356" s="17" t="inlineStr">
        <x:is>
          <x:t xml:space="preserve">ND_EBITDA</x:t>
        </x:is>
      </x:c>
      <x:c r="E356" s="17" t="inlineStr">
        <x:is>
          <x:t xml:space="preserve">Dette nette / EBITDA</x:t>
        </x:is>
      </x:c>
      <x:c r="F356" s="20" t="n">
        <x:v>0</x:v>
      </x:c>
      <x:c r="G356" s="20" t="n">
        <x:v>3.5</x:v>
      </x:c>
      <x:c r="H356" s="17" t="inlineStr">
        <x:is>
          <x:t xml:space="preserve">x</x:t>
        </x:is>
      </x:c>
      <x:c r="I356" s="17" t="inlineStr">
        <x:is>
          <x:t xml:space="preserve">LOW_GOOD</x:t>
        </x:is>
      </x:c>
      <x:c r="J356" s="15" t="inlineStr">
        <x:is>
          <x:t xml:space="preserve">https://www.ohada.org/en/ohada-accounting-law/</x:t>
        </x:is>
      </x:c>
      <x:c r="K356" s="15" t="inlineStr">
        <x:is>
          <x:t xml:space="preserve">Repères génériques. À adapter selon taille/maturité; remplacez par médianes/quartiles sectoriels si disponibles.</x:t>
        </x:is>
      </x:c>
    </x:row>
    <x:row r="357">
      <x:c r="A357" s="17" t="inlineStr">
        <x:is>
          <x:t xml:space="preserve">Zone Comptable OHADA|Construction|D_E</x:t>
        </x:is>
      </x:c>
      <x:c r="B357" s="17" t="inlineStr">
        <x:is>
          <x:t xml:space="preserve">Zone Comptable OHADA</x:t>
        </x:is>
      </x:c>
      <x:c r="C357" s="17" t="inlineStr">
        <x:is>
          <x:t xml:space="preserve">Construction</x:t>
        </x:is>
      </x:c>
      <x:c r="D357" s="17" t="inlineStr">
        <x:is>
          <x:t xml:space="preserve">D_E</x:t>
        </x:is>
      </x:c>
      <x:c r="E357" s="17" t="inlineStr">
        <x:is>
          <x:t xml:space="preserve">Dette / CP</x:t>
        </x:is>
      </x:c>
      <x:c r="F357" s="20" t="n">
        <x:v>0</x:v>
      </x:c>
      <x:c r="G357" s="20" t="n">
        <x:v>2</x:v>
      </x:c>
      <x:c r="H357" s="17" t="inlineStr">
        <x:is>
          <x:t xml:space="preserve">x</x:t>
        </x:is>
      </x:c>
      <x:c r="I357" s="17" t="inlineStr">
        <x:is>
          <x:t xml:space="preserve">LOW_GOOD</x:t>
        </x:is>
      </x:c>
      <x:c r="J357" s="15" t="inlineStr">
        <x:is>
          <x:t xml:space="preserve">https://www.ohada.org/en/ohada-accounting-law/</x:t>
        </x:is>
      </x:c>
      <x:c r="K357" s="15" t="inlineStr">
        <x:is>
          <x:t xml:space="preserve">Repères génériques. À adapter selon taille/maturité; remplacez par médianes/quartiles sectoriels si disponibles.</x:t>
        </x:is>
      </x:c>
    </x:row>
    <x:row r="358">
      <x:c r="A358" s="17" t="inlineStr">
        <x:is>
          <x:t xml:space="preserve">Zone Comptable OHADA|Construction|ICR</x:t>
        </x:is>
      </x:c>
      <x:c r="B358" s="17" t="inlineStr">
        <x:is>
          <x:t xml:space="preserve">Zone Comptable OHADA</x:t>
        </x:is>
      </x:c>
      <x:c r="C358" s="17" t="inlineStr">
        <x:is>
          <x:t xml:space="preserve">Construction</x:t>
        </x:is>
      </x:c>
      <x:c r="D358" s="17" t="inlineStr">
        <x:is>
          <x:t xml:space="preserve">ICR</x:t>
        </x:is>
      </x:c>
      <x:c r="E358" s="17" t="inlineStr">
        <x:is>
          <x:t xml:space="preserve">Couverture intérêts (EBIT/Intérêts)</x:t>
        </x:is>
      </x:c>
      <x:c r="F358" s="20" t="n">
        <x:v>2.5</x:v>
      </x:c>
      <x:c r="G358" s="20" t="n">
        <x:v>10</x:v>
      </x:c>
      <x:c r="H358" s="17" t="inlineStr">
        <x:is>
          <x:t xml:space="preserve">x</x:t>
        </x:is>
      </x:c>
      <x:c r="I358" s="17" t="inlineStr">
        <x:is>
          <x:t xml:space="preserve">HIGH_GOOD</x:t>
        </x:is>
      </x:c>
      <x:c r="J358" s="15" t="inlineStr">
        <x:is>
          <x:t xml:space="preserve">https://www.ohada.org/en/ohada-accounting-law/</x:t>
        </x:is>
      </x:c>
      <x:c r="K358" s="15" t="inlineStr">
        <x:is>
          <x:t xml:space="preserve">Repères génériques. À adapter selon taille/maturité; remplacez par médianes/quartiles sectoriels si disponibles.</x:t>
        </x:is>
      </x:c>
    </x:row>
    <x:row r="359">
      <x:c r="A359" s="17" t="inlineStr">
        <x:is>
          <x:t xml:space="preserve">Zone Comptable OHADA|Construction|DSCR</x:t>
        </x:is>
      </x:c>
      <x:c r="B359" s="17" t="inlineStr">
        <x:is>
          <x:t xml:space="preserve">Zone Comptable OHADA</x:t>
        </x:is>
      </x:c>
      <x:c r="C359" s="17" t="inlineStr">
        <x:is>
          <x:t xml:space="preserve">Construction</x:t>
        </x:is>
      </x:c>
      <x:c r="D359" s="17" t="inlineStr">
        <x:is>
          <x:t xml:space="preserve">DSCR</x:t>
        </x:is>
      </x:c>
      <x:c r="E359" s="17" t="inlineStr">
        <x:is>
          <x:t xml:space="preserve">DSCR</x:t>
        </x:is>
      </x:c>
      <x:c r="F359" s="20" t="n">
        <x:v>1.1</x:v>
      </x:c>
      <x:c r="G359" s="20" t="n">
        <x:v>2.5</x:v>
      </x:c>
      <x:c r="H359" s="17" t="inlineStr">
        <x:is>
          <x:t xml:space="preserve">x</x:t>
        </x:is>
      </x:c>
      <x:c r="I359" s="17" t="inlineStr">
        <x:is>
          <x:t xml:space="preserve">HIGH_GOOD</x:t>
        </x:is>
      </x:c>
      <x:c r="J359" s="15" t="inlineStr">
        <x:is>
          <x:t xml:space="preserve">https://www.ohada.org/en/ohada-accounting-law/</x:t>
        </x:is>
      </x:c>
      <x:c r="K359" s="15" t="inlineStr">
        <x:is>
          <x:t xml:space="preserve">Repères génériques. À adapter selon taille/maturité; remplacez par médianes/quartiles sectoriels si disponibles.</x:t>
        </x:is>
      </x:c>
    </x:row>
    <x:row r="360">
      <x:c r="A360" s="17" t="inlineStr">
        <x:is>
          <x:t xml:space="preserve">Zone Comptable OHADA|Construction|CFO_NI</x:t>
        </x:is>
      </x:c>
      <x:c r="B360" s="17" t="inlineStr">
        <x:is>
          <x:t xml:space="preserve">Zone Comptable OHADA</x:t>
        </x:is>
      </x:c>
      <x:c r="C360" s="17" t="inlineStr">
        <x:is>
          <x:t xml:space="preserve">Construction</x:t>
        </x:is>
      </x:c>
      <x:c r="D360" s="17" t="inlineStr">
        <x:is>
          <x:t xml:space="preserve">CFO_NI</x:t>
        </x:is>
      </x:c>
      <x:c r="E360" s="17" t="inlineStr">
        <x:is>
          <x:t xml:space="preserve">CFO / RN</x:t>
        </x:is>
      </x:c>
      <x:c r="F360" s="20" t="n">
        <x:v>0.9</x:v>
      </x:c>
      <x:c r="G360" s="20" t="n">
        <x:v>1.6</x:v>
      </x:c>
      <x:c r="H360" s="17" t="inlineStr">
        <x:is>
          <x:t xml:space="preserve">x</x:t>
        </x:is>
      </x:c>
      <x:c r="I360" s="17" t="inlineStr">
        <x:is>
          <x:t xml:space="preserve">HIGH_GOOD</x:t>
        </x:is>
      </x:c>
      <x:c r="J360" s="15" t="inlineStr">
        <x:is>
          <x:t xml:space="preserve">https://www.ohada.org/en/ohada-accounting-law/</x:t>
        </x:is>
      </x:c>
      <x:c r="K360" s="15" t="inlineStr">
        <x:is>
          <x:t xml:space="preserve">Repères génériques. À adapter selon taille/maturité; remplacez par médianes/quartiles sectoriels si disponibles.</x:t>
        </x:is>
      </x:c>
    </x:row>
    <x:row r="361">
      <x:c r="A361" s="17" t="inlineStr">
        <x:is>
          <x:t xml:space="preserve">Zone Comptable OHADA|Construction|ROA</x:t>
        </x:is>
      </x:c>
      <x:c r="B361" s="17" t="inlineStr">
        <x:is>
          <x:t xml:space="preserve">Zone Comptable OHADA</x:t>
        </x:is>
      </x:c>
      <x:c r="C361" s="17" t="inlineStr">
        <x:is>
          <x:t xml:space="preserve">Construction</x:t>
        </x:is>
      </x:c>
      <x:c r="D361" s="17" t="inlineStr">
        <x:is>
          <x:t xml:space="preserve">ROA</x:t>
        </x:is>
      </x:c>
      <x:c r="E361" s="17" t="inlineStr">
        <x:is>
          <x:t xml:space="preserve">ROA</x:t>
        </x:is>
      </x:c>
      <x:c r="F361" s="18" t="n">
        <x:v>0.02</x:v>
      </x:c>
      <x:c r="G361" s="18" t="n">
        <x:v>0.08</x:v>
      </x:c>
      <x:c r="H361" s="17" t="inlineStr">
        <x:is>
          <x:t xml:space="preserve">%</x:t>
        </x:is>
      </x:c>
      <x:c r="I361" s="17" t="inlineStr">
        <x:is>
          <x:t xml:space="preserve">HIGH_GOOD</x:t>
        </x:is>
      </x:c>
      <x:c r="J361" s="15" t="inlineStr">
        <x:is>
          <x:t xml:space="preserve">https://www.ohada.org/en/ohada-accounting-law/</x:t>
        </x:is>
      </x:c>
      <x:c r="K361" s="15" t="inlineStr">
        <x:is>
          <x:t xml:space="preserve">Repères génériques. À adapter selon taille/maturité; remplacez par médianes/quartiles sectoriels si disponibles.</x:t>
        </x:is>
      </x:c>
    </x:row>
    <x:row r="362">
      <x:c r="A362" s="17" t="inlineStr">
        <x:is>
          <x:t xml:space="preserve">Zone Comptable OHADA|Construction|ROE</x:t>
        </x:is>
      </x:c>
      <x:c r="B362" s="17" t="inlineStr">
        <x:is>
          <x:t xml:space="preserve">Zone Comptable OHADA</x:t>
        </x:is>
      </x:c>
      <x:c r="C362" s="17" t="inlineStr">
        <x:is>
          <x:t xml:space="preserve">Construction</x:t>
        </x:is>
      </x:c>
      <x:c r="D362" s="17" t="inlineStr">
        <x:is>
          <x:t xml:space="preserve">ROE</x:t>
        </x:is>
      </x:c>
      <x:c r="E362" s="17" t="inlineStr">
        <x:is>
          <x:t xml:space="preserve">ROE</x:t>
        </x:is>
      </x:c>
      <x:c r="F362" s="18" t="n">
        <x:v>0.08</x:v>
      </x:c>
      <x:c r="G362" s="18" t="n">
        <x:v>0.18</x:v>
      </x:c>
      <x:c r="H362" s="17" t="inlineStr">
        <x:is>
          <x:t xml:space="preserve">%</x:t>
        </x:is>
      </x:c>
      <x:c r="I362" s="17" t="inlineStr">
        <x:is>
          <x:t xml:space="preserve">HIGH_GOOD</x:t>
        </x:is>
      </x:c>
      <x:c r="J362" s="15" t="inlineStr">
        <x:is>
          <x:t xml:space="preserve">https://www.ohada.org/en/ohada-accounting-law/</x:t>
        </x:is>
      </x:c>
      <x:c r="K362" s="15" t="inlineStr">
        <x:is>
          <x:t xml:space="preserve">Repères génériques. À adapter selon taille/maturité; remplacez par médianes/quartiles sectoriels si disponibles.</x:t>
        </x:is>
      </x:c>
    </x:row>
    <x:row r="363">
      <x:c r="A363" s="17" t="inlineStr">
        <x:is>
          <x:t xml:space="preserve">Zone Comptable OHADA|Construction|ROCE</x:t>
        </x:is>
      </x:c>
      <x:c r="B363" s="17" t="inlineStr">
        <x:is>
          <x:t xml:space="preserve">Zone Comptable OHADA</x:t>
        </x:is>
      </x:c>
      <x:c r="C363" s="17" t="inlineStr">
        <x:is>
          <x:t xml:space="preserve">Construction</x:t>
        </x:is>
      </x:c>
      <x:c r="D363" s="17" t="inlineStr">
        <x:is>
          <x:t xml:space="preserve">ROCE</x:t>
        </x:is>
      </x:c>
      <x:c r="E363" s="17" t="inlineStr">
        <x:is>
          <x:t xml:space="preserve">ROCE</x:t>
        </x:is>
      </x:c>
      <x:c r="F363" s="18" t="n">
        <x:v>0.08</x:v>
      </x:c>
      <x:c r="G363" s="18" t="n">
        <x:v>0.2</x:v>
      </x:c>
      <x:c r="H363" s="17" t="inlineStr">
        <x:is>
          <x:t xml:space="preserve">%</x:t>
        </x:is>
      </x:c>
      <x:c r="I363" s="17" t="inlineStr">
        <x:is>
          <x:t xml:space="preserve">HIGH_GOOD</x:t>
        </x:is>
      </x:c>
      <x:c r="J363" s="15" t="inlineStr">
        <x:is>
          <x:t xml:space="preserve">https://www.ohada.org/en/ohada-accounting-law/</x:t>
        </x:is>
      </x:c>
      <x:c r="K363" s="15" t="inlineStr">
        <x:is>
          <x:t xml:space="preserve">Repères génériques. À adapter selon taille/maturité; remplacez par médianes/quartiles sectoriels si disponibles.</x:t>
        </x:is>
      </x:c>
    </x:row>
  </x:sheetData>
  <x:mergeCells>
    <x:mergeCell ref="A1:K1"/>
  </x:mergeCells>
  <x:pageMargins left="0.7" right="0.7" top="0.75" bottom="0.75" header="0.3" footer="0.3"/>
  <x:legacyDrawing xmlns:r="http://schemas.openxmlformats.org/officeDocument/2006/relationships" r:id="R74ed4ecb41b14819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customWidth="1"/>
    <x:col min="2" max="2" width="30" customWidth="1"/>
    <x:col min="3" max="3" width="12" customWidth="1"/>
    <x:col min="4" max="4" width="16" customWidth="1"/>
    <x:col min="5" max="5" width="10" customWidth="1"/>
    <x:col min="6" max="6" width="12" customWidth="1"/>
    <x:col min="7" max="7" width="12" customWidth="1"/>
    <x:col min="8" max="8" width="12" customWidth="1"/>
    <x:col min="9" max="9" width="42" customWidth="1"/>
    <x:col min="11" max="11" width="13" customWidth="1"/>
  </x:cols>
  <x:sheetData>
    <x:row r="1">
      <x:c r="A1" s="9" t="inlineStr">
        <x:is>
          <x:t xml:space="preserve">Ratios – calcul automatique + comparaison aux benchmarks</x:t>
        </x:is>
      </x:c>
    </x:row>
    <x:row r="3">
      <x:c r="A3" s="10" t="inlineStr">
        <x:is>
          <x:t xml:space="preserve">Catégorie</x:t>
        </x:is>
      </x:c>
      <x:c r="B3" s="10" t="inlineStr">
        <x:is>
          <x:t xml:space="preserve">Ratio</x:t>
        </x:is>
      </x:c>
      <x:c r="C3" s="10" t="inlineStr">
        <x:is>
          <x:t xml:space="preserve">ID</x:t>
        </x:is>
      </x:c>
      <x:c r="D3" s="10" t="inlineStr">
        <x:is>
          <x:t xml:space="preserve">Valeur (N)</x:t>
        </x:is>
      </x:c>
      <x:c r="E3" s="10" t="inlineStr">
        <x:is>
          <x:t xml:space="preserve">Unité</x:t>
        </x:is>
      </x:c>
      <x:c r="F3" s="10" t="inlineStr">
        <x:is>
          <x:t xml:space="preserve">Réf. basse</x:t>
        </x:is>
      </x:c>
      <x:c r="G3" s="10" t="inlineStr">
        <x:is>
          <x:t xml:space="preserve">Réf. haute</x:t>
        </x:is>
      </x:c>
      <x:c r="H3" s="10" t="inlineStr">
        <x:is>
          <x:t xml:space="preserve">Statut</x:t>
        </x:is>
      </x:c>
      <x:c r="I3" s="10" t="inlineStr">
        <x:is>
          <x:t xml:space="preserve">Commentaire</x:t>
        </x:is>
      </x:c>
      <x:c r="K3" t="inlineStr">
        <x:is>
          <x:t xml:space="preserve">Clé</x:t>
        </x:is>
      </x:c>
    </x:row>
    <x:row r="4">
      <x:c r="A4" s="17" t="inlineStr">
        <x:is>
          <x:t xml:space="preserve">Marges</x:t>
        </x:is>
      </x:c>
      <x:c r="B4" s="17" t="inlineStr">
        <x:is>
          <x:t xml:space="preserve">Marge brute</x:t>
        </x:is>
      </x:c>
      <x:c r="C4" s="14" t="inlineStr">
        <x:is>
          <x:t xml:space="preserve">M_GROSS</x:t>
        </x:is>
      </x:c>
      <x:c r="D4" s="21">
        <x:f>IFERROR('Saisie_CR'!$C$6/'Saisie_CR'!$C$4,"")</x:f>
      </x:c>
      <x:c r="E4" s="14" t="inlineStr">
        <x:is>
          <x:t xml:space="preserve">%</x:t>
        </x:is>
      </x:c>
      <x:c r="F4" s="21">
        <x:f>IFERROR(VLOOKUP($K4,Références!$A$4:$K$363,6,FALSE),"")</x:f>
        <x:v>0.2</x:v>
      </x:c>
      <x:c r="G4" s="21">
        <x:f>IFERROR(VLOOKUP($K4,Références!$A$4:$K$363,7,FALSE),"")</x:f>
        <x:v>0.45</x:v>
      </x:c>
      <x:c r="H4" s="14">
        <x:f>IF($D4="","",IF($F4="","(pas de réf.)",IF($E4="jours",IF($D4&gt;$G4,"Alerte",IF($D4&lt;$F4,"Très bon","OK")),IF($E4="%",IF($D4&lt;$F4,"Alerte",IF($D4&gt;$G4,"Très bon","OK")),IF($E4="x",IF($D4&lt;$F4,"Alerte",IF($D4&gt;$G4,"Attention","OK")),"OK")))))</x:f>
      </x:c>
      <x:c r="I4" s="15" t="inlineStr">
        <x:is>
          <x:t xml:space="preserve">Plus élevé = mieux (à secteur comparable).</x:t>
        </x:is>
      </x:c>
      <x:c r="K4" s="22" t="str">
        <x:f>'Paramètres'!$D$6&amp;"|"&amp;'Paramètres'!$D$5&amp;"|"&amp;C4</x:f>
        <x:v>France|Industrie|M_GROSS</x:v>
      </x:c>
    </x:row>
    <x:row r="5">
      <x:c r="A5" s="17" t="inlineStr">
        <x:is>
          <x:t xml:space="preserve">Marges</x:t>
        </x:is>
      </x:c>
      <x:c r="B5" s="17" t="inlineStr">
        <x:is>
          <x:t xml:space="preserve">Marge EBITDA</x:t>
        </x:is>
      </x:c>
      <x:c r="C5" s="14" t="inlineStr">
        <x:is>
          <x:t xml:space="preserve">M_EBITDA</x:t>
        </x:is>
      </x:c>
      <x:c r="D5" s="21">
        <x:f>IFERROR('Saisie_CR'!$C$8/'Saisie_CR'!$C$4,"")</x:f>
      </x:c>
      <x:c r="E5" s="14" t="inlineStr">
        <x:is>
          <x:t xml:space="preserve">%</x:t>
        </x:is>
      </x:c>
      <x:c r="F5" s="21">
        <x:f>IFERROR(VLOOKUP($K5,Références!$A$4:$K$363,6,FALSE),"")</x:f>
        <x:v>0.1</x:v>
      </x:c>
      <x:c r="G5" s="21">
        <x:f>IFERROR(VLOOKUP($K5,Références!$A$4:$K$363,7,FALSE),"")</x:f>
        <x:v>0.22</x:v>
      </x:c>
      <x:c r="H5" s="14">
        <x:f>IF($D5="","",IF($F5="","(pas de réf.)",IF($E5="jours",IF($D5&gt;$G5,"Alerte",IF($D5&lt;$F5,"Très bon","OK")),IF($E5="%",IF($D5&lt;$F5,"Alerte",IF($D5&gt;$G5,"Très bon","OK")),IF($E5="x",IF($D5&lt;$F5,"Alerte",IF($D5&gt;$G5,"Attention","OK")),"OK")))))</x:f>
      </x:c>
      <x:c r="I5" s="15" t="inlineStr">
        <x:is>
          <x:t xml:space="preserve">Capacité à générer une marge opérationnelle avant D&amp;A.</x:t>
        </x:is>
      </x:c>
      <x:c r="K5" s="22" t="str">
        <x:f>'Paramètres'!$D$6&amp;"|"&amp;'Paramètres'!$D$5&amp;"|"&amp;C5</x:f>
        <x:v>France|Industrie|M_EBITDA</x:v>
      </x:c>
    </x:row>
    <x:row r="6">
      <x:c r="A6" s="17" t="inlineStr">
        <x:is>
          <x:t xml:space="preserve">Marges</x:t>
        </x:is>
      </x:c>
      <x:c r="B6" s="17" t="inlineStr">
        <x:is>
          <x:t xml:space="preserve">Marge EBIT</x:t>
        </x:is>
      </x:c>
      <x:c r="C6" s="14" t="inlineStr">
        <x:is>
          <x:t xml:space="preserve">M_EBIT</x:t>
        </x:is>
      </x:c>
      <x:c r="D6" s="21">
        <x:f>IFERROR('Saisie_CR'!$C$10/'Saisie_CR'!$C$4,"")</x:f>
      </x:c>
      <x:c r="E6" s="14" t="inlineStr">
        <x:is>
          <x:t xml:space="preserve">%</x:t>
        </x:is>
      </x:c>
      <x:c r="F6" s="21">
        <x:f>IFERROR(VLOOKUP($K6,Références!$A$4:$K$363,6,FALSE),"")</x:f>
        <x:v>0.06</x:v>
      </x:c>
      <x:c r="G6" s="21">
        <x:f>IFERROR(VLOOKUP($K6,Références!$A$4:$K$363,7,FALSE),"")</x:f>
        <x:v>0.15</x:v>
      </x:c>
      <x:c r="H6" s="14">
        <x:f>IF($D6="","",IF($F6="","(pas de réf.)",IF($E6="jours",IF($D6&gt;$G6,"Alerte",IF($D6&lt;$F6,"Très bon","OK")),IF($E6="%",IF($D6&lt;$F6,"Alerte",IF($D6&gt;$G6,"Très bon","OK")),IF($E6="x",IF($D6&lt;$F6,"Alerte",IF($D6&gt;$G6,"Attention","OK")),"OK")))))</x:f>
      </x:c>
      <x:c r="I6" s="15" t="inlineStr">
        <x:is>
          <x:t xml:space="preserve">Rentabilité d’exploitation après D&amp;A.</x:t>
        </x:is>
      </x:c>
      <x:c r="K6" s="22" t="str">
        <x:f>'Paramètres'!$D$6&amp;"|"&amp;'Paramètres'!$D$5&amp;"|"&amp;C6</x:f>
        <x:v>France|Industrie|M_EBIT</x:v>
      </x:c>
    </x:row>
    <x:row r="7">
      <x:c r="A7" s="17" t="inlineStr">
        <x:is>
          <x:t xml:space="preserve">Marges</x:t>
        </x:is>
      </x:c>
      <x:c r="B7" s="17" t="inlineStr">
        <x:is>
          <x:t xml:space="preserve">Marge nette</x:t>
        </x:is>
      </x:c>
      <x:c r="C7" s="14" t="inlineStr">
        <x:is>
          <x:t xml:space="preserve">M_NET</x:t>
        </x:is>
      </x:c>
      <x:c r="D7" s="21">
        <x:f>IFERROR('Saisie_CR'!$C$13/'Saisie_CR'!$C$4,"")</x:f>
      </x:c>
      <x:c r="E7" s="14" t="inlineStr">
        <x:is>
          <x:t xml:space="preserve">%</x:t>
        </x:is>
      </x:c>
      <x:c r="F7" s="21">
        <x:f>IFERROR(VLOOKUP($K7,Références!$A$4:$K$363,6,FALSE),"")</x:f>
        <x:v>0.03</x:v>
      </x:c>
      <x:c r="G7" s="21">
        <x:f>IFERROR(VLOOKUP($K7,Références!$A$4:$K$363,7,FALSE),"")</x:f>
        <x:v>0.1</x:v>
      </x:c>
      <x:c r="H7" s="14">
        <x:f>IF($D7="","",IF($F7="","(pas de réf.)",IF($E7="jours",IF($D7&gt;$G7,"Alerte",IF($D7&lt;$F7,"Très bon","OK")),IF($E7="%",IF($D7&lt;$F7,"Alerte",IF($D7&gt;$G7,"Très bon","OK")),IF($E7="x",IF($D7&lt;$F7,"Alerte",IF($D7&gt;$G7,"Attention","OK")),"OK")))))</x:f>
      </x:c>
      <x:c r="I7" s="15" t="inlineStr">
        <x:is>
          <x:t xml:space="preserve">Rentabilité finale (après financier &amp; impôts).</x:t>
        </x:is>
      </x:c>
      <x:c r="K7" s="22" t="str">
        <x:f>'Paramètres'!$D$6&amp;"|"&amp;'Paramètres'!$D$5&amp;"|"&amp;C7</x:f>
        <x:v>France|Industrie|M_NET</x:v>
      </x:c>
    </x:row>
    <x:row r="8">
      <x:c r="A8" s="17" t="inlineStr">
        <x:is>
          <x:t xml:space="preserve">Croissance</x:t>
        </x:is>
      </x:c>
      <x:c r="B8" s="17" t="inlineStr">
        <x:is>
          <x:t xml:space="preserve">Croissance CA</x:t>
        </x:is>
      </x:c>
      <x:c r="C8" s="14" t="inlineStr">
        <x:is>
          <x:t xml:space="preserve">G_REV</x:t>
        </x:is>
      </x:c>
      <x:c r="D8" s="21">
        <x:f>IFERROR(('Saisie_CR'!$C$4-'Saisie_CR'!$B$4)/'Saisie_CR'!$B$4,"")</x:f>
      </x:c>
      <x:c r="E8" s="14" t="inlineStr">
        <x:is>
          <x:t xml:space="preserve">%</x:t>
        </x:is>
      </x:c>
      <x:c r="F8" s="21">
        <x:f>IFERROR(VLOOKUP($K8,Références!$A$4:$K$363,6,FALSE),"")</x:f>
        <x:v>-0.05</x:v>
      </x:c>
      <x:c r="G8" s="21">
        <x:f>IFERROR(VLOOKUP($K8,Références!$A$4:$K$363,7,FALSE),"")</x:f>
        <x:v>0.15</x:v>
      </x:c>
      <x:c r="H8" s="14">
        <x:f>IF($D8="","",IF($F8="","(pas de réf.)",IF($E8="jours",IF($D8&gt;$G8,"Alerte",IF($D8&lt;$F8,"Très bon","OK")),IF($E8="%",IF($D8&lt;$F8,"Alerte",IF($D8&gt;$G8,"Très bon","OK")),IF($E8="x",IF($D8&lt;$F8,"Alerte",IF($D8&gt;$G8,"Attention","OK")),"OK")))))</x:f>
      </x:c>
      <x:c r="I8" s="15" t="inlineStr">
        <x:is>
          <x:t xml:space="preserve">À analyser avec les marges.</x:t>
        </x:is>
      </x:c>
      <x:c r="K8" s="22" t="str">
        <x:f>'Paramètres'!$D$6&amp;"|"&amp;'Paramètres'!$D$5&amp;"|"&amp;C8</x:f>
        <x:v>France|Industrie|G_REV</x:v>
      </x:c>
    </x:row>
    <x:row r="9">
      <x:c r="A9" s="17" t="inlineStr">
        <x:is>
          <x:t xml:space="preserve">Croissance</x:t>
        </x:is>
      </x:c>
      <x:c r="B9" s="17" t="inlineStr">
        <x:is>
          <x:t xml:space="preserve">Croissance RN</x:t>
        </x:is>
      </x:c>
      <x:c r="C9" s="14" t="inlineStr">
        <x:is>
          <x:t xml:space="preserve">G_NI</x:t>
        </x:is>
      </x:c>
      <x:c r="D9" s="21">
        <x:f>IFERROR(('Saisie_CR'!$C$13-'Saisie_CR'!$B$13)/ABS('Saisie_CR'!$B$13),"")</x:f>
      </x:c>
      <x:c r="E9" s="14" t="inlineStr">
        <x:is>
          <x:t xml:space="preserve">%</x:t>
        </x:is>
      </x:c>
      <x:c r="F9" s="21">
        <x:f>IFERROR(VLOOKUP($K9,Références!$A$4:$K$363,6,FALSE),"")</x:f>
        <x:v>-0.1</x:v>
      </x:c>
      <x:c r="G9" s="21">
        <x:f>IFERROR(VLOOKUP($K9,Références!$A$4:$K$363,7,FALSE),"")</x:f>
        <x:v>0.2</x:v>
      </x:c>
      <x:c r="H9" s="14">
        <x:f>IF($D9="","",IF($F9="","(pas de réf.)",IF($E9="jours",IF($D9&gt;$G9,"Alerte",IF($D9&lt;$F9,"Très bon","OK")),IF($E9="%",IF($D9&lt;$F9,"Alerte",IF($D9&gt;$G9,"Très bon","OK")),IF($E9="x",IF($D9&lt;$F9,"Alerte",IF($D9&gt;$G9,"Attention","OK")),"OK")))))</x:f>
      </x:c>
      <x:c r="I9" s="15" t="inlineStr">
        <x:is>
          <x:t xml:space="preserve">Attention si RN N-1 faible.</x:t>
        </x:is>
      </x:c>
      <x:c r="K9" s="22" t="str">
        <x:f>'Paramètres'!$D$6&amp;"|"&amp;'Paramètres'!$D$5&amp;"|"&amp;C9</x:f>
        <x:v>France|Industrie|G_NI</x:v>
      </x:c>
    </x:row>
    <x:row r="10">
      <x:c r="A10" s="17" t="inlineStr">
        <x:is>
          <x:t xml:space="preserve">BFR</x:t>
        </x:is>
      </x:c>
      <x:c r="B10" s="17" t="inlineStr">
        <x:is>
          <x:t xml:space="preserve">Jours de stocks</x:t>
        </x:is>
      </x:c>
      <x:c r="C10" s="14" t="inlineStr">
        <x:is>
          <x:t xml:space="preserve">D_INV</x:t>
        </x:is>
      </x:c>
      <x:c r="D10" s="27">
        <x:f>IFERROR((('Saisie_Bilan'!$C$7+'Saisie_Bilan'!$B$7)/2)/'Saisie_CR'!$C$5*365,"")</x:f>
      </x:c>
      <x:c r="E10" s="14" t="inlineStr">
        <x:is>
          <x:t xml:space="preserve">jours</x:t>
        </x:is>
      </x:c>
      <x:c r="F10" s="27">
        <x:f>IFERROR(VLOOKUP($K10,Références!$A$4:$K$363,6,FALSE),"")</x:f>
        <x:v>30</x:v>
      </x:c>
      <x:c r="G10" s="27">
        <x:f>IFERROR(VLOOKUP($K10,Références!$A$4:$K$363,7,FALSE),"")</x:f>
        <x:v>90</x:v>
      </x:c>
      <x:c r="H10" s="14">
        <x:f>IF($D10="","",IF($F10="","(pas de réf.)",IF($E10="jours",IF($D10&gt;$G10,"Alerte",IF($D10&lt;$F10,"Très bon","OK")),IF($E10="%",IF($D10&lt;$F10,"Alerte",IF($D10&gt;$G10,"Très bon","OK")),IF($E10="x",IF($D10&lt;$F10,"Alerte",IF($D10&gt;$G10,"Attention","OK")),"OK")))))</x:f>
      </x:c>
      <x:c r="I10" s="15" t="inlineStr">
        <x:is>
          <x:t xml:space="preserve">Plus bas = rotation meilleure.</x:t>
        </x:is>
      </x:c>
      <x:c r="K10" s="22" t="str">
        <x:f>'Paramètres'!$D$6&amp;"|"&amp;'Paramètres'!$D$5&amp;"|"&amp;C10</x:f>
        <x:v>France|Industrie|D_INV</x:v>
      </x:c>
    </x:row>
    <x:row r="11">
      <x:c r="A11" s="17" t="inlineStr">
        <x:is>
          <x:t xml:space="preserve">BFR</x:t>
        </x:is>
      </x:c>
      <x:c r="B11" s="17" t="inlineStr">
        <x:is>
          <x:t xml:space="preserve">DSO (jours clients)</x:t>
        </x:is>
      </x:c>
      <x:c r="C11" s="14" t="inlineStr">
        <x:is>
          <x:t xml:space="preserve">DSO</x:t>
        </x:is>
      </x:c>
      <x:c r="D11" s="27">
        <x:f>IFERROR((('Saisie_Bilan'!$C$6+'Saisie_Bilan'!$B$6)/2)/'Saisie_CR'!$C$4*365,"")</x:f>
      </x:c>
      <x:c r="E11" s="14" t="inlineStr">
        <x:is>
          <x:t xml:space="preserve">jours</x:t>
        </x:is>
      </x:c>
      <x:c r="F11" s="27">
        <x:f>IFERROR(VLOOKUP($K11,Références!$A$4:$K$363,6,FALSE),"")</x:f>
        <x:v>35</x:v>
      </x:c>
      <x:c r="G11" s="27">
        <x:f>IFERROR(VLOOKUP($K11,Références!$A$4:$K$363,7,FALSE),"")</x:f>
        <x:v>70</x:v>
      </x:c>
      <x:c r="H11" s="14">
        <x:f>IF($D11="","",IF($F11="","(pas de réf.)",IF($E11="jours",IF($D11&gt;$G11,"Alerte",IF($D11&lt;$F11,"Très bon","OK")),IF($E11="%",IF($D11&lt;$F11,"Alerte",IF($D11&gt;$G11,"Très bon","OK")),IF($E11="x",IF($D11&lt;$F11,"Alerte",IF($D11&gt;$G11,"Attention","OK")),"OK")))))</x:f>
      </x:c>
      <x:c r="I11" s="15" t="inlineStr">
        <x:is>
          <x:t xml:space="preserve">Plus bas = encaissement plus rapide.</x:t>
        </x:is>
      </x:c>
      <x:c r="K11" s="22" t="str">
        <x:f>'Paramètres'!$D$6&amp;"|"&amp;'Paramètres'!$D$5&amp;"|"&amp;C11</x:f>
        <x:v>France|Industrie|DSO</x:v>
      </x:c>
    </x:row>
    <x:row r="12">
      <x:c r="A12" s="17" t="inlineStr">
        <x:is>
          <x:t xml:space="preserve">BFR</x:t>
        </x:is>
      </x:c>
      <x:c r="B12" s="17" t="inlineStr">
        <x:is>
          <x:t xml:space="preserve">DPO (jours fournisseurs)</x:t>
        </x:is>
      </x:c>
      <x:c r="C12" s="14" t="inlineStr">
        <x:is>
          <x:t xml:space="preserve">DPO</x:t>
        </x:is>
      </x:c>
      <x:c r="D12" s="27">
        <x:f>IFERROR((('Saisie_Bilan'!$C$15+'Saisie_Bilan'!$B$15)/2)/IF('Saisie_CR'!$C$14&gt;0,'Saisie_CR'!$C$14,'Saisie_CR'!$C$5)*365,"")</x:f>
      </x:c>
      <x:c r="E12" s="14" t="inlineStr">
        <x:is>
          <x:t xml:space="preserve">jours</x:t>
        </x:is>
      </x:c>
      <x:c r="F12" s="27">
        <x:f>IFERROR(VLOOKUP($K12,Références!$A$4:$K$363,6,FALSE),"")</x:f>
        <x:v>40</x:v>
      </x:c>
      <x:c r="G12" s="27">
        <x:f>IFERROR(VLOOKUP($K12,Références!$A$4:$K$363,7,FALSE),"")</x:f>
        <x:v>90</x:v>
      </x:c>
      <x:c r="H12" s="14">
        <x:f>IF($D12="","",IF($F12="","(pas de réf.)",IF($E12="jours",IF($D12&gt;$G12,"Alerte",IF($D12&lt;$F12,"Très bon","OK")),IF($E12="%",IF($D12&lt;$F12,"Alerte",IF($D12&gt;$G12,"Très bon","OK")),IF($E12="x",IF($D12&lt;$F12,"Alerte",IF($D12&gt;$G12,"Attention","OK")),"OK")))))</x:f>
      </x:c>
      <x:c r="I12" s="15" t="inlineStr">
        <x:is>
          <x:t xml:space="preserve">Plus haut = financement fournisseurs (sans tension).</x:t>
        </x:is>
      </x:c>
      <x:c r="K12" s="22" t="str">
        <x:f>'Paramètres'!$D$6&amp;"|"&amp;'Paramètres'!$D$5&amp;"|"&amp;C12</x:f>
        <x:v>France|Industrie|DPO</x:v>
      </x:c>
    </x:row>
    <x:row r="13">
      <x:c r="A13" s="17" t="inlineStr">
        <x:is>
          <x:t xml:space="preserve">BFR</x:t>
        </x:is>
      </x:c>
      <x:c r="B13" s="17" t="inlineStr">
        <x:is>
          <x:t xml:space="preserve">Cycle de conversion cash (CCC)</x:t>
        </x:is>
      </x:c>
      <x:c r="C13" s="14" t="inlineStr">
        <x:is>
          <x:t xml:space="preserve">CCC</x:t>
        </x:is>
      </x:c>
      <x:c r="D13" s="27">
        <x:f>IFERROR(D11+D12-D13,"")</x:f>
      </x:c>
      <x:c r="E13" s="14" t="inlineStr">
        <x:is>
          <x:t xml:space="preserve">jours</x:t>
        </x:is>
      </x:c>
      <x:c r="F13" s="27">
        <x:f>IFERROR(VLOOKUP($K13,Références!$A$4:$K$363,6,FALSE),"")</x:f>
        <x:v>0</x:v>
      </x:c>
      <x:c r="G13" s="27">
        <x:f>IFERROR(VLOOKUP($K13,Références!$A$4:$K$363,7,FALSE),"")</x:f>
        <x:v>60</x:v>
      </x:c>
      <x:c r="H13" s="14">
        <x:f>IF($D13="","",IF($F13="","(pas de réf.)",IF($E13="jours",IF($D13&gt;$G13,"Alerte",IF($D13&lt;$F13,"Très bon","OK")),IF($E13="%",IF($D13&lt;$F13,"Alerte",IF($D13&gt;$G13,"Très bon","OK")),IF($E13="x",IF($D13&lt;$F13,"Alerte",IF($D13&gt;$G13,"Attention","OK")),"OK")))))</x:f>
      </x:c>
      <x:c r="I13" s="15" t="inlineStr">
        <x:is>
          <x:t xml:space="preserve">CCC = DSO + Stocks – DPO.</x:t>
        </x:is>
      </x:c>
      <x:c r="K13" s="22" t="str">
        <x:f>'Paramètres'!$D$6&amp;"|"&amp;'Paramètres'!$D$5&amp;"|"&amp;C13</x:f>
        <x:v>France|Industrie|CCC</x:v>
      </x:c>
    </x:row>
    <x:row r="14">
      <x:c r="A14" s="17" t="inlineStr">
        <x:is>
          <x:t xml:space="preserve">BFR</x:t>
        </x:is>
      </x:c>
      <x:c r="B14" s="17" t="inlineStr">
        <x:is>
          <x:t xml:space="preserve">BFR / CA</x:t>
        </x:is>
      </x:c>
      <x:c r="C14" s="14" t="inlineStr">
        <x:is>
          <x:t xml:space="preserve">BFR_REV</x:t>
        </x:is>
      </x:c>
      <x:c r="D14" s="21">
        <x:f>IFERROR(('Saisie_Bilan'!$C$7+'Saisie_Bilan'!$C$6-'Saisie_Bilan'!$C$15)/'Saisie_CR'!$C$4,"")</x:f>
      </x:c>
      <x:c r="E14" s="14" t="inlineStr">
        <x:is>
          <x:t xml:space="preserve">%</x:t>
        </x:is>
      </x:c>
      <x:c r="F14" s="21">
        <x:f>IFERROR(VLOOKUP($K14,Références!$A$4:$K$363,6,FALSE),"")</x:f>
        <x:v>-0.05</x:v>
      </x:c>
      <x:c r="G14" s="21">
        <x:f>IFERROR(VLOOKUP($K14,Références!$A$4:$K$363,7,FALSE),"")</x:f>
        <x:v>0.2</x:v>
      </x:c>
      <x:c r="H14" s="14">
        <x:f>IF($D14="","",IF($F14="","(pas de réf.)",IF($E14="jours",IF($D14&gt;$G14,"Alerte",IF($D14&lt;$F14,"Très bon","OK")),IF($E14="%",IF($D14&lt;$F14,"Alerte",IF($D14&gt;$G14,"Très bon","OK")),IF($E14="x",IF($D14&lt;$F14,"Alerte",IF($D14&gt;$G14,"Attention","OK")),"OK")))))</x:f>
      </x:c>
      <x:c r="I14" s="15" t="inlineStr">
        <x:is>
          <x:t xml:space="preserve">BFR = Stocks + Créances – Fournisseurs.</x:t>
        </x:is>
      </x:c>
      <x:c r="K14" s="22" t="str">
        <x:f>'Paramètres'!$D$6&amp;"|"&amp;'Paramètres'!$D$5&amp;"|"&amp;C14</x:f>
        <x:v>France|Industrie|BFR_REV</x:v>
      </x:c>
    </x:row>
    <x:row r="15">
      <x:c r="A15" s="17" t="inlineStr">
        <x:is>
          <x:t xml:space="preserve">Liquidité</x:t>
        </x:is>
      </x:c>
      <x:c r="B15" s="17" t="inlineStr">
        <x:is>
          <x:t xml:space="preserve">Current ratio</x:t>
        </x:is>
      </x:c>
      <x:c r="C15" s="14" t="inlineStr">
        <x:is>
          <x:t xml:space="preserve">CURR</x:t>
        </x:is>
      </x:c>
      <x:c r="D15" s="23">
        <x:f>IFERROR('Saisie_Bilan'!$C$9/'Saisie_Bilan'!$C$18,"")</x:f>
      </x:c>
      <x:c r="E15" s="14" t="inlineStr">
        <x:is>
          <x:t xml:space="preserve">x</x:t>
        </x:is>
      </x:c>
      <x:c r="F15" s="23">
        <x:f>IFERROR(VLOOKUP($K15,Références!$A$4:$K$363,6,FALSE),"")</x:f>
        <x:v>1.2</x:v>
      </x:c>
      <x:c r="G15" s="23">
        <x:f>IFERROR(VLOOKUP($K15,Références!$A$4:$K$363,7,FALSE),"")</x:f>
        <x:v>2.2</x:v>
      </x:c>
      <x:c r="H15" s="14">
        <x:f>IF($D15="","",IF($F15="","(pas de réf.)",IF($E15="jours",IF($D15&gt;$G15,"Alerte",IF($D15&lt;$F15,"Très bon","OK")),IF($E15="%",IF($D15&lt;$F15,"Alerte",IF($D15&gt;$G15,"Très bon","OK")),IF($E15="x",IF($D15&lt;$F15,"Alerte",IF($D15&gt;$G15,"Attention","OK")),"OK")))))</x:f>
      </x:c>
      <x:c r="I15" s="15" t="inlineStr">
        <x:is>
          <x:t xml:space="preserve">&gt;1 = couvre le CT.</x:t>
        </x:is>
      </x:c>
      <x:c r="K15" s="22" t="str">
        <x:f>'Paramètres'!$D$6&amp;"|"&amp;'Paramètres'!$D$5&amp;"|"&amp;C15</x:f>
        <x:v>France|Industrie|CURR</x:v>
      </x:c>
    </x:row>
    <x:row r="16">
      <x:c r="A16" s="17" t="inlineStr">
        <x:is>
          <x:t xml:space="preserve">Liquidité</x:t>
        </x:is>
      </x:c>
      <x:c r="B16" s="17" t="inlineStr">
        <x:is>
          <x:t xml:space="preserve">Quick ratio</x:t>
        </x:is>
      </x:c>
      <x:c r="C16" s="14" t="inlineStr">
        <x:is>
          <x:t xml:space="preserve">QUICK</x:t>
        </x:is>
      </x:c>
      <x:c r="D16" s="23">
        <x:f>IFERROR(('Saisie_Bilan'!$C$9-'Saisie_Bilan'!$C$7)/'Saisie_Bilan'!$C$18,"")</x:f>
      </x:c>
      <x:c r="E16" s="14" t="inlineStr">
        <x:is>
          <x:t xml:space="preserve">x</x:t>
        </x:is>
      </x:c>
      <x:c r="F16" s="23">
        <x:f>IFERROR(VLOOKUP($K16,Références!$A$4:$K$363,6,FALSE),"")</x:f>
        <x:v>0.9</x:v>
      </x:c>
      <x:c r="G16" s="23">
        <x:f>IFERROR(VLOOKUP($K16,Références!$A$4:$K$363,7,FALSE),"")</x:f>
        <x:v>1.6</x:v>
      </x:c>
      <x:c r="H16" s="14">
        <x:f>IF($D16="","",IF($F16="","(pas de réf.)",IF($E16="jours",IF($D16&gt;$G16,"Alerte",IF($D16&lt;$F16,"Très bon","OK")),IF($E16="%",IF($D16&lt;$F16,"Alerte",IF($D16&gt;$G16,"Très bon","OK")),IF($E16="x",IF($D16&lt;$F16,"Alerte",IF($D16&gt;$G16,"Attention","OK")),"OK")))))</x:f>
      </x:c>
      <x:c r="I16" s="15" t="inlineStr">
        <x:is>
          <x:t xml:space="preserve">Test sans stocks.</x:t>
        </x:is>
      </x:c>
      <x:c r="K16" s="22" t="str">
        <x:f>'Paramètres'!$D$6&amp;"|"&amp;'Paramètres'!$D$5&amp;"|"&amp;C16</x:f>
        <x:v>France|Industrie|QUICK</x:v>
      </x:c>
    </x:row>
    <x:row r="17">
      <x:c r="A17" s="17" t="inlineStr">
        <x:is>
          <x:t xml:space="preserve">Liquidité</x:t>
        </x:is>
      </x:c>
      <x:c r="B17" s="17" t="inlineStr">
        <x:is>
          <x:t xml:space="preserve">Cash ratio</x:t>
        </x:is>
      </x:c>
      <x:c r="C17" s="14" t="inlineStr">
        <x:is>
          <x:t xml:space="preserve">CASHR</x:t>
        </x:is>
      </x:c>
      <x:c r="D17" s="23">
        <x:f>IFERROR('Saisie_Bilan'!$C$5/'Saisie_Bilan'!$C$18,"")</x:f>
      </x:c>
      <x:c r="E17" s="14" t="inlineStr">
        <x:is>
          <x:t xml:space="preserve">x</x:t>
        </x:is>
      </x:c>
      <x:c r="F17" s="23">
        <x:f>IFERROR(VLOOKUP($K17,Références!$A$4:$K$363,6,FALSE),"")</x:f>
        <x:v>0.2</x:v>
      </x:c>
      <x:c r="G17" s="23">
        <x:f>IFERROR(VLOOKUP($K17,Références!$A$4:$K$363,7,FALSE),"")</x:f>
        <x:v>0.8</x:v>
      </x:c>
      <x:c r="H17" s="14">
        <x:f>IF($D17="","",IF($F17="","(pas de réf.)",IF($E17="jours",IF($D17&gt;$G17,"Alerte",IF($D17&lt;$F17,"Très bon","OK")),IF($E17="%",IF($D17&lt;$F17,"Alerte",IF($D17&gt;$G17,"Très bon","OK")),IF($E17="x",IF($D17&lt;$F17,"Alerte",IF($D17&gt;$G17,"Attention","OK")),"OK")))))</x:f>
      </x:c>
      <x:c r="I17" s="15" t="inlineStr">
        <x:is>
          <x:t xml:space="preserve">Liquidité immédiate.</x:t>
        </x:is>
      </x:c>
      <x:c r="K17" s="22" t="str">
        <x:f>'Paramètres'!$D$6&amp;"|"&amp;'Paramètres'!$D$5&amp;"|"&amp;C17</x:f>
        <x:v>France|Industrie|CASHR</x:v>
      </x:c>
    </x:row>
    <x:row r="18">
      <x:c r="A18" s="17" t="inlineStr">
        <x:is>
          <x:t xml:space="preserve">Structure</x:t>
        </x:is>
      </x:c>
      <x:c r="B18" s="17" t="inlineStr">
        <x:is>
          <x:t xml:space="preserve">Autonomie financière</x:t>
        </x:is>
      </x:c>
      <x:c r="C18" s="14" t="inlineStr">
        <x:is>
          <x:t xml:space="preserve">EQ_RATIO</x:t>
        </x:is>
      </x:c>
      <x:c r="D18" s="21">
        <x:f>IFERROR('Saisie_Bilan'!$C$22/'Saisie_Bilan'!$C$13,"")</x:f>
      </x:c>
      <x:c r="E18" s="14" t="inlineStr">
        <x:is>
          <x:t xml:space="preserve">%</x:t>
        </x:is>
      </x:c>
      <x:c r="F18" s="21">
        <x:f>IFERROR(VLOOKUP($K18,Références!$A$4:$K$363,6,FALSE),"")</x:f>
        <x:v>0.3</x:v>
      </x:c>
      <x:c r="G18" s="21">
        <x:f>IFERROR(VLOOKUP($K18,Références!$A$4:$K$363,7,FALSE),"")</x:f>
        <x:v>0.6</x:v>
      </x:c>
      <x:c r="H18" s="14">
        <x:f>IF($D18="","",IF($F18="","(pas de réf.)",IF($E18="jours",IF($D18&gt;$G18,"Alerte",IF($D18&lt;$F18,"Très bon","OK")),IF($E18="%",IF($D18&lt;$F18,"Alerte",IF($D18&gt;$G18,"Très bon","OK")),IF($E18="x",IF($D18&lt;$F18,"Alerte",IF($D18&gt;$G18,"Attention","OK")),"OK")))))</x:f>
      </x:c>
      <x:c r="I18" s="15" t="inlineStr">
        <x:is>
          <x:t xml:space="preserve">Plus élevé = plus solide.</x:t>
        </x:is>
      </x:c>
      <x:c r="K18" s="22" t="str">
        <x:f>'Paramètres'!$D$6&amp;"|"&amp;'Paramètres'!$D$5&amp;"|"&amp;C18</x:f>
        <x:v>France|Industrie|EQ_RATIO</x:v>
      </x:c>
    </x:row>
    <x:row r="19">
      <x:c r="A19" s="17" t="inlineStr">
        <x:is>
          <x:t xml:space="preserve">Structure</x:t>
        </x:is>
      </x:c>
      <x:c r="B19" s="17" t="inlineStr">
        <x:is>
          <x:t xml:space="preserve">Gearing (Dette nette/CP)</x:t>
        </x:is>
      </x:c>
      <x:c r="C19" s="14" t="inlineStr">
        <x:is>
          <x:t xml:space="preserve">GEARING</x:t>
        </x:is>
      </x:c>
      <x:c r="D19" s="23">
        <x:f>IFERROR(('Saisie_Bilan'!$C$17+'Saisie_Bilan'!$C$19-'Saisie_Bilan'!$C$5)/'Saisie_Bilan'!$C$22,"")</x:f>
      </x:c>
      <x:c r="E19" s="14" t="inlineStr">
        <x:is>
          <x:t xml:space="preserve">x</x:t>
        </x:is>
      </x:c>
      <x:c r="F19" s="23">
        <x:f>IFERROR(VLOOKUP($K19,Références!$A$4:$K$363,6,FALSE),"")</x:f>
        <x:v>0</x:v>
      </x:c>
      <x:c r="G19" s="23">
        <x:f>IFERROR(VLOOKUP($K19,Références!$A$4:$K$363,7,FALSE),"")</x:f>
        <x:v>1</x:v>
      </x:c>
      <x:c r="H19" s="14">
        <x:f>IF($D19="","",IF($F19="","(pas de réf.)",IF($E19="jours",IF($D19&gt;$G19,"Alerte",IF($D19&lt;$F19,"Très bon","OK")),IF($E19="%",IF($D19&lt;$F19,"Alerte",IF($D19&gt;$G19,"Très bon","OK")),IF($E19="x",IF($D19&lt;$F19,"Alerte",IF($D19&gt;$G19,"Attention","OK")),"OK")))))</x:f>
      </x:c>
      <x:c r="I19" s="15" t="inlineStr">
        <x:is>
          <x:t xml:space="preserve">Dette nette / CP.</x:t>
        </x:is>
      </x:c>
      <x:c r="K19" s="22" t="str">
        <x:f>'Paramètres'!$D$6&amp;"|"&amp;'Paramètres'!$D$5&amp;"|"&amp;C19</x:f>
        <x:v>France|Industrie|GEARING</x:v>
      </x:c>
    </x:row>
    <x:row r="20">
      <x:c r="A20" s="17" t="inlineStr">
        <x:is>
          <x:t xml:space="preserve">Endettement</x:t>
        </x:is>
      </x:c>
      <x:c r="B20" s="17" t="inlineStr">
        <x:is>
          <x:t xml:space="preserve">Dette nette / EBITDA</x:t>
        </x:is>
      </x:c>
      <x:c r="C20" s="14" t="inlineStr">
        <x:is>
          <x:t xml:space="preserve">ND_EBITDA</x:t>
        </x:is>
      </x:c>
      <x:c r="D20" s="23">
        <x:f>IFERROR(('Saisie_Bilan'!$C$17+'Saisie_Bilan'!$C$19-'Saisie_Bilan'!$C$5)/'Saisie_CR'!$C$8,"")</x:f>
      </x:c>
      <x:c r="E20" s="14" t="inlineStr">
        <x:is>
          <x:t xml:space="preserve">x</x:t>
        </x:is>
      </x:c>
      <x:c r="F20" s="23">
        <x:f>IFERROR(VLOOKUP($K20,Références!$A$4:$K$363,6,FALSE),"")</x:f>
        <x:v>0</x:v>
      </x:c>
      <x:c r="G20" s="23">
        <x:f>IFERROR(VLOOKUP($K20,Références!$A$4:$K$363,7,FALSE),"")</x:f>
        <x:v>3</x:v>
      </x:c>
      <x:c r="H20" s="14">
        <x:f>IF($D20="","",IF($F20="","(pas de réf.)",IF($E20="jours",IF($D20&gt;$G20,"Alerte",IF($D20&lt;$F20,"Très bon","OK")),IF($E20="%",IF($D20&lt;$F20,"Alerte",IF($D20&gt;$G20,"Très bon","OK")),IF($E20="x",IF($D20&lt;$F20,"Alerte",IF($D20&gt;$G20,"Attention","OK")),"OK")))))</x:f>
      </x:c>
      <x:c r="I20" s="15" t="inlineStr">
        <x:is>
          <x:t xml:space="preserve">Levier dette vs EBITDA.</x:t>
        </x:is>
      </x:c>
      <x:c r="K20" s="22" t="str">
        <x:f>'Paramètres'!$D$6&amp;"|"&amp;'Paramètres'!$D$5&amp;"|"&amp;C20</x:f>
        <x:v>France|Industrie|ND_EBITDA</x:v>
      </x:c>
    </x:row>
    <x:row r="21">
      <x:c r="A21" s="17" t="inlineStr">
        <x:is>
          <x:t xml:space="preserve">Endettement</x:t>
        </x:is>
      </x:c>
      <x:c r="B21" s="17" t="inlineStr">
        <x:is>
          <x:t xml:space="preserve">Dette / CP</x:t>
        </x:is>
      </x:c>
      <x:c r="C21" s="14" t="inlineStr">
        <x:is>
          <x:t xml:space="preserve">D_E</x:t>
        </x:is>
      </x:c>
      <x:c r="D21" s="23">
        <x:f>IFERROR(('Saisie_Bilan'!$C$17+'Saisie_Bilan'!$C$19)/'Saisie_Bilan'!$C$22,"")</x:f>
      </x:c>
      <x:c r="E21" s="14" t="inlineStr">
        <x:is>
          <x:t xml:space="preserve">x</x:t>
        </x:is>
      </x:c>
      <x:c r="F21" s="23">
        <x:f>IFERROR(VLOOKUP($K21,Références!$A$4:$K$363,6,FALSE),"")</x:f>
        <x:v>0</x:v>
      </x:c>
      <x:c r="G21" s="23">
        <x:f>IFERROR(VLOOKUP($K21,Références!$A$4:$K$363,7,FALSE),"")</x:f>
        <x:v>1.5</x:v>
      </x:c>
      <x:c r="H21" s="14">
        <x:f>IF($D21="","",IF($F21="","(pas de réf.)",IF($E21="jours",IF($D21&gt;$G21,"Alerte",IF($D21&lt;$F21,"Très bon","OK")),IF($E21="%",IF($D21&lt;$F21,"Alerte",IF($D21&gt;$G21,"Très bon","OK")),IF($E21="x",IF($D21&lt;$F21,"Alerte",IF($D21&gt;$G21,"Attention","OK")),"OK")))))</x:f>
      </x:c>
      <x:c r="I21" s="15" t="inlineStr">
        <x:is>
          <x:t xml:space="preserve">Levier dette vs CP.</x:t>
        </x:is>
      </x:c>
      <x:c r="K21" s="22" t="str">
        <x:f>'Paramètres'!$D$6&amp;"|"&amp;'Paramètres'!$D$5&amp;"|"&amp;C21</x:f>
        <x:v>France|Industrie|D_E</x:v>
      </x:c>
    </x:row>
    <x:row r="22">
      <x:c r="A22" s="17" t="inlineStr">
        <x:is>
          <x:t xml:space="preserve">Couverture</x:t>
        </x:is>
      </x:c>
      <x:c r="B22" s="17" t="inlineStr">
        <x:is>
          <x:t xml:space="preserve">Couverture intérêts</x:t>
        </x:is>
      </x:c>
      <x:c r="C22" s="14" t="inlineStr">
        <x:is>
          <x:t xml:space="preserve">ICR</x:t>
        </x:is>
      </x:c>
      <x:c r="D22" s="23">
        <x:f>IFERROR('Saisie_CR'!$C$10/'Saisie_CR'!$C$11,"")</x:f>
      </x:c>
      <x:c r="E22" s="14" t="inlineStr">
        <x:is>
          <x:t xml:space="preserve">x</x:t>
        </x:is>
      </x:c>
      <x:c r="F22" s="23">
        <x:f>IFERROR(VLOOKUP($K22,Références!$A$4:$K$363,6,FALSE),"")</x:f>
        <x:v>3</x:v>
      </x:c>
      <x:c r="G22" s="23">
        <x:f>IFERROR(VLOOKUP($K22,Références!$A$4:$K$363,7,FALSE),"")</x:f>
        <x:v>12</x:v>
      </x:c>
      <x:c r="H22" s="14">
        <x:f>IF($D22="","",IF($F22="","(pas de réf.)",IF($E22="jours",IF($D22&gt;$G22,"Alerte",IF($D22&lt;$F22,"Très bon","OK")),IF($E22="%",IF($D22&lt;$F22,"Alerte",IF($D22&gt;$G22,"Très bon","OK")),IF($E22="x",IF($D22&lt;$F22,"Alerte",IF($D22&gt;$G22,"Attention","OK")),"OK")))))</x:f>
      </x:c>
      <x:c r="I22" s="15" t="inlineStr">
        <x:is>
          <x:t xml:space="preserve">&lt;1 = alerte.</x:t>
        </x:is>
      </x:c>
      <x:c r="K22" s="22" t="str">
        <x:f>'Paramètres'!$D$6&amp;"|"&amp;'Paramètres'!$D$5&amp;"|"&amp;C22</x:f>
        <x:v>France|Industrie|ICR</x:v>
      </x:c>
    </x:row>
    <x:row r="23">
      <x:c r="A23" s="17" t="inlineStr">
        <x:is>
          <x:t xml:space="preserve">Couverture</x:t>
        </x:is>
      </x:c>
      <x:c r="B23" s="17" t="inlineStr">
        <x:is>
          <x:t xml:space="preserve">DSCR</x:t>
        </x:is>
      </x:c>
      <x:c r="C23" s="14" t="inlineStr">
        <x:is>
          <x:t xml:space="preserve">DSCR</x:t>
        </x:is>
      </x:c>
      <x:c r="D23" s="23">
        <x:f>IFERROR(('Saisie_CF'!$C$4+'Saisie_CF'!$C$5)/('Saisie_CF'!$C$7+IF('Saisie_CF'!$C$8&lt;&gt;"",'Saisie_CF'!$C$8,0)),"")</x:f>
      </x:c>
      <x:c r="E23" s="14" t="inlineStr">
        <x:is>
          <x:t xml:space="preserve">x</x:t>
        </x:is>
      </x:c>
      <x:c r="F23" s="23">
        <x:f>IFERROR(VLOOKUP($K23,Références!$A$4:$K$363,6,FALSE),"")</x:f>
        <x:v>1.2</x:v>
      </x:c>
      <x:c r="G23" s="23">
        <x:f>IFERROR(VLOOKUP($K23,Références!$A$4:$K$363,7,FALSE),"")</x:f>
        <x:v>3</x:v>
      </x:c>
      <x:c r="H23" s="14">
        <x:f>IF($D23="","",IF($F23="","(pas de réf.)",IF($E23="jours",IF($D23&gt;$G23,"Alerte",IF($D23&lt;$F23,"Très bon","OK")),IF($E23="%",IF($D23&lt;$F23,"Alerte",IF($D23&gt;$G23,"Très bon","OK")),IF($E23="x",IF($D23&lt;$F23,"Alerte",IF($D23&gt;$G23,"Attention","OK")),"OK")))))</x:f>
      </x:c>
      <x:c r="I23" s="15" t="inlineStr">
        <x:is>
          <x:t xml:space="preserve">&gt;1 = capacité service dette.</x:t>
        </x:is>
      </x:c>
      <x:c r="K23" s="22" t="str">
        <x:f>'Paramètres'!$D$6&amp;"|"&amp;'Paramètres'!$D$5&amp;"|"&amp;C23</x:f>
        <x:v>France|Industrie|DSCR</x:v>
      </x:c>
    </x:row>
    <x:row r="24">
      <x:c r="A24" s="17" t="inlineStr">
        <x:is>
          <x:t xml:space="preserve">Cash</x:t>
        </x:is>
      </x:c>
      <x:c r="B24" s="17" t="inlineStr">
        <x:is>
          <x:t xml:space="preserve">CFO / RN</x:t>
        </x:is>
      </x:c>
      <x:c r="C24" s="14" t="inlineStr">
        <x:is>
          <x:t xml:space="preserve">CFO_NI</x:t>
        </x:is>
      </x:c>
      <x:c r="D24" s="23">
        <x:f>IFERROR('Saisie_CF'!$C$4/'Saisie_CR'!$C$13,"")</x:f>
      </x:c>
      <x:c r="E24" s="14" t="inlineStr">
        <x:is>
          <x:t xml:space="preserve">x</x:t>
        </x:is>
      </x:c>
      <x:c r="F24" s="23">
        <x:f>IFERROR(VLOOKUP($K24,Références!$A$4:$K$363,6,FALSE),"")</x:f>
        <x:v>0.9</x:v>
      </x:c>
      <x:c r="G24" s="23">
        <x:f>IFERROR(VLOOKUP($K24,Références!$A$4:$K$363,7,FALSE),"")</x:f>
        <x:v>1.5</x:v>
      </x:c>
      <x:c r="H24" s="14">
        <x:f>IF($D24="","",IF($F24="","(pas de réf.)",IF($E24="jours",IF($D24&gt;$G24,"Alerte",IF($D24&lt;$F24,"Très bon","OK")),IF($E24="%",IF($D24&lt;$F24,"Alerte",IF($D24&gt;$G24,"Très bon","OK")),IF($E24="x",IF($D24&lt;$F24,"Alerte",IF($D24&gt;$G24,"Attention","OK")),"OK")))))</x:f>
      </x:c>
      <x:c r="I24" s="15" t="inlineStr">
        <x:is>
          <x:t xml:space="preserve">&gt;1 = résultat cash-like.</x:t>
        </x:is>
      </x:c>
      <x:c r="K24" s="22" t="str">
        <x:f>'Paramètres'!$D$6&amp;"|"&amp;'Paramètres'!$D$5&amp;"|"&amp;C24</x:f>
        <x:v>France|Industrie|CFO_NI</x:v>
      </x:c>
    </x:row>
    <x:row r="25">
      <x:c r="A25" s="17" t="inlineStr">
        <x:is>
          <x:t xml:space="preserve">Rentabilité</x:t>
        </x:is>
      </x:c>
      <x:c r="B25" s="17" t="inlineStr">
        <x:is>
          <x:t xml:space="preserve">ROA</x:t>
        </x:is>
      </x:c>
      <x:c r="C25" s="14" t="inlineStr">
        <x:is>
          <x:t xml:space="preserve">ROA</x:t>
        </x:is>
      </x:c>
      <x:c r="D25" s="21">
        <x:f>IFERROR('Saisie_CR'!$C$13/(('Saisie_Bilan'!$C$13+'Saisie_Bilan'!$B$13)/2),"")</x:f>
      </x:c>
      <x:c r="E25" s="14" t="inlineStr">
        <x:is>
          <x:t xml:space="preserve">%</x:t>
        </x:is>
      </x:c>
      <x:c r="F25" s="21">
        <x:f>IFERROR(VLOOKUP($K25,Références!$A$4:$K$363,6,FALSE),"")</x:f>
        <x:v>0.03</x:v>
      </x:c>
      <x:c r="G25" s="21">
        <x:f>IFERROR(VLOOKUP($K25,Références!$A$4:$K$363,7,FALSE),"")</x:f>
        <x:v>0.1</x:v>
      </x:c>
      <x:c r="H25" s="14">
        <x:f>IF($D25="","",IF($F25="","(pas de réf.)",IF($E25="jours",IF($D25&gt;$G25,"Alerte",IF($D25&lt;$F25,"Très bon","OK")),IF($E25="%",IF($D25&lt;$F25,"Alerte",IF($D25&gt;$G25,"Très bon","OK")),IF($E25="x",IF($D25&lt;$F25,"Alerte",IF($D25&gt;$G25,"Attention","OK")),"OK")))))</x:f>
      </x:c>
      <x:c r="I25" s="15" t="inlineStr">
        <x:is>
          <x:t xml:space="preserve">Rendement des actifs.</x:t>
        </x:is>
      </x:c>
      <x:c r="K25" s="22" t="str">
        <x:f>'Paramètres'!$D$6&amp;"|"&amp;'Paramètres'!$D$5&amp;"|"&amp;C25</x:f>
        <x:v>France|Industrie|ROA</x:v>
      </x:c>
    </x:row>
    <x:row r="26">
      <x:c r="A26" s="17" t="inlineStr">
        <x:is>
          <x:t xml:space="preserve">Rentabilité</x:t>
        </x:is>
      </x:c>
      <x:c r="B26" s="17" t="inlineStr">
        <x:is>
          <x:t xml:space="preserve">ROE</x:t>
        </x:is>
      </x:c>
      <x:c r="C26" s="14" t="inlineStr">
        <x:is>
          <x:t xml:space="preserve">ROE</x:t>
        </x:is>
      </x:c>
      <x:c r="D26" s="21">
        <x:f>IFERROR('Saisie_CR'!$C$13/(('Saisie_Bilan'!$C$22+'Saisie_Bilan'!$B$22)/2),"")</x:f>
      </x:c>
      <x:c r="E26" s="14" t="inlineStr">
        <x:is>
          <x:t xml:space="preserve">%</x:t>
        </x:is>
      </x:c>
      <x:c r="F26" s="21">
        <x:f>IFERROR(VLOOKUP($K26,Références!$A$4:$K$363,6,FALSE),"")</x:f>
        <x:v>0.08</x:v>
      </x:c>
      <x:c r="G26" s="21">
        <x:f>IFERROR(VLOOKUP($K26,Références!$A$4:$K$363,7,FALSE),"")</x:f>
        <x:v>0.18</x:v>
      </x:c>
      <x:c r="H26" s="14">
        <x:f>IF($D26="","",IF($F26="","(pas de réf.)",IF($E26="jours",IF($D26&gt;$G26,"Alerte",IF($D26&lt;$F26,"Très bon","OK")),IF($E26="%",IF($D26&lt;$F26,"Alerte",IF($D26&gt;$G26,"Très bon","OK")),IF($E26="x",IF($D26&lt;$F26,"Alerte",IF($D26&gt;$G26,"Attention","OK")),"OK")))))</x:f>
      </x:c>
      <x:c r="I26" s="15" t="inlineStr">
        <x:is>
          <x:t xml:space="preserve">Rendement des CP.</x:t>
        </x:is>
      </x:c>
      <x:c r="K26" s="22" t="str">
        <x:f>'Paramètres'!$D$6&amp;"|"&amp;'Paramètres'!$D$5&amp;"|"&amp;C26</x:f>
        <x:v>France|Industrie|ROE</x:v>
      </x:c>
    </x:row>
    <x:row r="27">
      <x:c r="A27" s="17" t="inlineStr">
        <x:is>
          <x:t xml:space="preserve">Rentabilité</x:t>
        </x:is>
      </x:c>
      <x:c r="B27" s="17" t="inlineStr">
        <x:is>
          <x:t xml:space="preserve">ROCE</x:t>
        </x:is>
      </x:c>
      <x:c r="C27" s="14" t="inlineStr">
        <x:is>
          <x:t xml:space="preserve">ROCE</x:t>
        </x:is>
      </x:c>
      <x:c r="D27" s="21">
        <x:f>IFERROR('Saisie_CR'!$C$10/((('Saisie_Bilan'!$C$13-'Saisie_Bilan'!$C$18)+('Saisie_Bilan'!$B$13-'Saisie_Bilan'!$B$18))/2),"")</x:f>
      </x:c>
      <x:c r="E27" s="14" t="inlineStr">
        <x:is>
          <x:t xml:space="preserve">%</x:t>
        </x:is>
      </x:c>
      <x:c r="F27" s="21">
        <x:f>IFERROR(VLOOKUP($K27,Références!$A$4:$K$363,6,FALSE),"")</x:f>
        <x:v>0.08</x:v>
      </x:c>
      <x:c r="G27" s="21">
        <x:f>IFERROR(VLOOKUP($K27,Références!$A$4:$K$363,7,FALSE),"")</x:f>
        <x:v>0.2</x:v>
      </x:c>
      <x:c r="H27" s="14">
        <x:f>IF($D27="","",IF($F27="","(pas de réf.)",IF($E27="jours",IF($D27&gt;$G27,"Alerte",IF($D27&lt;$F27,"Très bon","OK")),IF($E27="%",IF($D27&lt;$F27,"Alerte",IF($D27&gt;$G27,"Très bon","OK")),IF($E27="x",IF($D27&lt;$F27,"Alerte",IF($D27&gt;$G27,"Attention","OK")),"OK")))))</x:f>
      </x:c>
      <x:c r="I27" s="15" t="inlineStr">
        <x:is>
          <x:t xml:space="preserve">Rendement du capital engagé.</x:t>
        </x:is>
      </x:c>
      <x:c r="K27" s="22" t="str">
        <x:f>'Paramètres'!$D$6&amp;"|"&amp;'Paramètres'!$D$5&amp;"|"&amp;C27</x:f>
        <x:v>France|Industrie|ROCE</x:v>
      </x:c>
    </x:row>
    <x:row r="30">
      <x:c r="A30" s="7" t="inlineStr">
        <x:is>
          <x:t xml:space="preserve">Alerte</x:t>
        </x:is>
      </x:c>
      <x:c r="D30" s="24" t="str">
        <x:f>IF('Saisie_Bilan'!$C$22&lt;0,"Capitaux propres négatifs (ALERTE)","-")</x:f>
        <x:v>-</x:v>
      </x:c>
    </x:row>
  </x:sheetData>
  <x:mergeCells>
    <x:mergeCell ref="A1:I1"/>
    <x:mergeCell ref="D30:I30"/>
    <x:mergeCell ref="A30:C30"/>
  </x:mergeCells>
  <x:conditionalFormatting sqref="H4:H4">
    <x:cfRule type="expression" dxfId="0" priority="1">
      <x:formula>H4="OK"</x:formula>
    </x:cfRule>
    <x:cfRule type="expression" dxfId="0" priority="2">
      <x:formula>H4="Très bon"</x:formula>
    </x:cfRule>
    <x:cfRule type="expression" dxfId="1" priority="3">
      <x:formula>H4="Alerte"</x:formula>
    </x:cfRule>
    <x:cfRule type="expression" dxfId="2" priority="4">
      <x:formula>H4="Attention"</x:formula>
    </x:cfRule>
  </x:conditionalFormatting>
  <x:conditionalFormatting sqref="H5:H5">
    <x:cfRule type="expression" dxfId="0" priority="5">
      <x:formula>H5="OK"</x:formula>
    </x:cfRule>
    <x:cfRule type="expression" dxfId="0" priority="6">
      <x:formula>H5="Très bon"</x:formula>
    </x:cfRule>
    <x:cfRule type="expression" dxfId="1" priority="7">
      <x:formula>H5="Alerte"</x:formula>
    </x:cfRule>
    <x:cfRule type="expression" dxfId="2" priority="8">
      <x:formula>H5="Attention"</x:formula>
    </x:cfRule>
  </x:conditionalFormatting>
  <x:conditionalFormatting sqref="H6:H6">
    <x:cfRule type="expression" dxfId="0" priority="9">
      <x:formula>H6="OK"</x:formula>
    </x:cfRule>
    <x:cfRule type="expression" dxfId="0" priority="10">
      <x:formula>H6="Très bon"</x:formula>
    </x:cfRule>
    <x:cfRule type="expression" dxfId="1" priority="11">
      <x:formula>H6="Alerte"</x:formula>
    </x:cfRule>
    <x:cfRule type="expression" dxfId="2" priority="12">
      <x:formula>H6="Attention"</x:formula>
    </x:cfRule>
  </x:conditionalFormatting>
  <x:conditionalFormatting sqref="H7:H7">
    <x:cfRule type="expression" dxfId="0" priority="13">
      <x:formula>H7="OK"</x:formula>
    </x:cfRule>
    <x:cfRule type="expression" dxfId="0" priority="14">
      <x:formula>H7="Très bon"</x:formula>
    </x:cfRule>
    <x:cfRule type="expression" dxfId="1" priority="15">
      <x:formula>H7="Alerte"</x:formula>
    </x:cfRule>
    <x:cfRule type="expression" dxfId="2" priority="16">
      <x:formula>H7="Attention"</x:formula>
    </x:cfRule>
  </x:conditionalFormatting>
  <x:conditionalFormatting sqref="H8:H8">
    <x:cfRule type="expression" dxfId="0" priority="17">
      <x:formula>H8="OK"</x:formula>
    </x:cfRule>
    <x:cfRule type="expression" dxfId="0" priority="18">
      <x:formula>H8="Très bon"</x:formula>
    </x:cfRule>
    <x:cfRule type="expression" dxfId="1" priority="19">
      <x:formula>H8="Alerte"</x:formula>
    </x:cfRule>
    <x:cfRule type="expression" dxfId="2" priority="20">
      <x:formula>H8="Attention"</x:formula>
    </x:cfRule>
  </x:conditionalFormatting>
  <x:conditionalFormatting sqref="H9:H9">
    <x:cfRule type="expression" dxfId="0" priority="21">
      <x:formula>H9="OK"</x:formula>
    </x:cfRule>
    <x:cfRule type="expression" dxfId="0" priority="22">
      <x:formula>H9="Très bon"</x:formula>
    </x:cfRule>
    <x:cfRule type="expression" dxfId="1" priority="23">
      <x:formula>H9="Alerte"</x:formula>
    </x:cfRule>
    <x:cfRule type="expression" dxfId="2" priority="24">
      <x:formula>H9="Attention"</x:formula>
    </x:cfRule>
  </x:conditionalFormatting>
  <x:conditionalFormatting sqref="H10:H10">
    <x:cfRule type="expression" dxfId="0" priority="25">
      <x:formula>H10="OK"</x:formula>
    </x:cfRule>
    <x:cfRule type="expression" dxfId="0" priority="26">
      <x:formula>H10="Très bon"</x:formula>
    </x:cfRule>
    <x:cfRule type="expression" dxfId="1" priority="27">
      <x:formula>H10="Alerte"</x:formula>
    </x:cfRule>
    <x:cfRule type="expression" dxfId="2" priority="28">
      <x:formula>H10="Attention"</x:formula>
    </x:cfRule>
  </x:conditionalFormatting>
  <x:conditionalFormatting sqref="H11:H11">
    <x:cfRule type="expression" dxfId="0" priority="29">
      <x:formula>H11="OK"</x:formula>
    </x:cfRule>
    <x:cfRule type="expression" dxfId="0" priority="30">
      <x:formula>H11="Très bon"</x:formula>
    </x:cfRule>
    <x:cfRule type="expression" dxfId="1" priority="31">
      <x:formula>H11="Alerte"</x:formula>
    </x:cfRule>
    <x:cfRule type="expression" dxfId="2" priority="32">
      <x:formula>H11="Attention"</x:formula>
    </x:cfRule>
  </x:conditionalFormatting>
  <x:conditionalFormatting sqref="H12:H12">
    <x:cfRule type="expression" dxfId="0" priority="33">
      <x:formula>H12="OK"</x:formula>
    </x:cfRule>
    <x:cfRule type="expression" dxfId="0" priority="34">
      <x:formula>H12="Très bon"</x:formula>
    </x:cfRule>
    <x:cfRule type="expression" dxfId="1" priority="35">
      <x:formula>H12="Alerte"</x:formula>
    </x:cfRule>
    <x:cfRule type="expression" dxfId="2" priority="36">
      <x:formula>H12="Attention"</x:formula>
    </x:cfRule>
  </x:conditionalFormatting>
  <x:conditionalFormatting sqref="H13:H13">
    <x:cfRule type="expression" dxfId="0" priority="37">
      <x:formula>H13="OK"</x:formula>
    </x:cfRule>
    <x:cfRule type="expression" dxfId="0" priority="38">
      <x:formula>H13="Très bon"</x:formula>
    </x:cfRule>
    <x:cfRule type="expression" dxfId="1" priority="39">
      <x:formula>H13="Alerte"</x:formula>
    </x:cfRule>
    <x:cfRule type="expression" dxfId="2" priority="40">
      <x:formula>H13="Attention"</x:formula>
    </x:cfRule>
  </x:conditionalFormatting>
  <x:conditionalFormatting sqref="H14:H14">
    <x:cfRule type="expression" dxfId="0" priority="41">
      <x:formula>H14="OK"</x:formula>
    </x:cfRule>
    <x:cfRule type="expression" dxfId="0" priority="42">
      <x:formula>H14="Très bon"</x:formula>
    </x:cfRule>
    <x:cfRule type="expression" dxfId="1" priority="43">
      <x:formula>H14="Alerte"</x:formula>
    </x:cfRule>
    <x:cfRule type="expression" dxfId="2" priority="44">
      <x:formula>H14="Attention"</x:formula>
    </x:cfRule>
  </x:conditionalFormatting>
  <x:conditionalFormatting sqref="H15:H15">
    <x:cfRule type="expression" dxfId="0" priority="45">
      <x:formula>H15="OK"</x:formula>
    </x:cfRule>
    <x:cfRule type="expression" dxfId="0" priority="46">
      <x:formula>H15="Très bon"</x:formula>
    </x:cfRule>
    <x:cfRule type="expression" dxfId="1" priority="47">
      <x:formula>H15="Alerte"</x:formula>
    </x:cfRule>
    <x:cfRule type="expression" dxfId="2" priority="48">
      <x:formula>H15="Attention"</x:formula>
    </x:cfRule>
  </x:conditionalFormatting>
  <x:conditionalFormatting sqref="H16:H16">
    <x:cfRule type="expression" dxfId="0" priority="49">
      <x:formula>H16="OK"</x:formula>
    </x:cfRule>
    <x:cfRule type="expression" dxfId="0" priority="50">
      <x:formula>H16="Très bon"</x:formula>
    </x:cfRule>
    <x:cfRule type="expression" dxfId="1" priority="51">
      <x:formula>H16="Alerte"</x:formula>
    </x:cfRule>
    <x:cfRule type="expression" dxfId="2" priority="52">
      <x:formula>H16="Attention"</x:formula>
    </x:cfRule>
  </x:conditionalFormatting>
  <x:conditionalFormatting sqref="H17:H17">
    <x:cfRule type="expression" dxfId="0" priority="53">
      <x:formula>H17="OK"</x:formula>
    </x:cfRule>
    <x:cfRule type="expression" dxfId="0" priority="54">
      <x:formula>H17="Très bon"</x:formula>
    </x:cfRule>
    <x:cfRule type="expression" dxfId="1" priority="55">
      <x:formula>H17="Alerte"</x:formula>
    </x:cfRule>
    <x:cfRule type="expression" dxfId="2" priority="56">
      <x:formula>H17="Attention"</x:formula>
    </x:cfRule>
  </x:conditionalFormatting>
  <x:conditionalFormatting sqref="H18:H18">
    <x:cfRule type="expression" dxfId="0" priority="57">
      <x:formula>H18="OK"</x:formula>
    </x:cfRule>
    <x:cfRule type="expression" dxfId="0" priority="58">
      <x:formula>H18="Très bon"</x:formula>
    </x:cfRule>
    <x:cfRule type="expression" dxfId="1" priority="59">
      <x:formula>H18="Alerte"</x:formula>
    </x:cfRule>
    <x:cfRule type="expression" dxfId="2" priority="60">
      <x:formula>H18="Attention"</x:formula>
    </x:cfRule>
  </x:conditionalFormatting>
  <x:conditionalFormatting sqref="H19:H19">
    <x:cfRule type="expression" dxfId="0" priority="61">
      <x:formula>H19="OK"</x:formula>
    </x:cfRule>
    <x:cfRule type="expression" dxfId="0" priority="62">
      <x:formula>H19="Très bon"</x:formula>
    </x:cfRule>
    <x:cfRule type="expression" dxfId="1" priority="63">
      <x:formula>H19="Alerte"</x:formula>
    </x:cfRule>
    <x:cfRule type="expression" dxfId="2" priority="64">
      <x:formula>H19="Attention"</x:formula>
    </x:cfRule>
  </x:conditionalFormatting>
  <x:conditionalFormatting sqref="H20:H20">
    <x:cfRule type="expression" dxfId="0" priority="65">
      <x:formula>H20="OK"</x:formula>
    </x:cfRule>
    <x:cfRule type="expression" dxfId="0" priority="66">
      <x:formula>H20="Très bon"</x:formula>
    </x:cfRule>
    <x:cfRule type="expression" dxfId="1" priority="67">
      <x:formula>H20="Alerte"</x:formula>
    </x:cfRule>
    <x:cfRule type="expression" dxfId="2" priority="68">
      <x:formula>H20="Attention"</x:formula>
    </x:cfRule>
  </x:conditionalFormatting>
  <x:conditionalFormatting sqref="H21:H21">
    <x:cfRule type="expression" dxfId="0" priority="69">
      <x:formula>H21="OK"</x:formula>
    </x:cfRule>
    <x:cfRule type="expression" dxfId="0" priority="70">
      <x:formula>H21="Très bon"</x:formula>
    </x:cfRule>
    <x:cfRule type="expression" dxfId="1" priority="71">
      <x:formula>H21="Alerte"</x:formula>
    </x:cfRule>
    <x:cfRule type="expression" dxfId="2" priority="72">
      <x:formula>H21="Attention"</x:formula>
    </x:cfRule>
  </x:conditionalFormatting>
  <x:conditionalFormatting sqref="H22:H22">
    <x:cfRule type="expression" dxfId="0" priority="73">
      <x:formula>H22="OK"</x:formula>
    </x:cfRule>
    <x:cfRule type="expression" dxfId="0" priority="74">
      <x:formula>H22="Très bon"</x:formula>
    </x:cfRule>
    <x:cfRule type="expression" dxfId="1" priority="75">
      <x:formula>H22="Alerte"</x:formula>
    </x:cfRule>
    <x:cfRule type="expression" dxfId="2" priority="76">
      <x:formula>H22="Attention"</x:formula>
    </x:cfRule>
  </x:conditionalFormatting>
  <x:conditionalFormatting sqref="H23:H23">
    <x:cfRule type="expression" dxfId="0" priority="77">
      <x:formula>H23="OK"</x:formula>
    </x:cfRule>
    <x:cfRule type="expression" dxfId="0" priority="78">
      <x:formula>H23="Très bon"</x:formula>
    </x:cfRule>
    <x:cfRule type="expression" dxfId="1" priority="79">
      <x:formula>H23="Alerte"</x:formula>
    </x:cfRule>
    <x:cfRule type="expression" dxfId="2" priority="80">
      <x:formula>H23="Attention"</x:formula>
    </x:cfRule>
  </x:conditionalFormatting>
  <x:conditionalFormatting sqref="H24:H24">
    <x:cfRule type="expression" dxfId="0" priority="81">
      <x:formula>H24="OK"</x:formula>
    </x:cfRule>
    <x:cfRule type="expression" dxfId="0" priority="82">
      <x:formula>H24="Très bon"</x:formula>
    </x:cfRule>
    <x:cfRule type="expression" dxfId="1" priority="83">
      <x:formula>H24="Alerte"</x:formula>
    </x:cfRule>
    <x:cfRule type="expression" dxfId="2" priority="84">
      <x:formula>H24="Attention"</x:formula>
    </x:cfRule>
  </x:conditionalFormatting>
  <x:conditionalFormatting sqref="H25:H25">
    <x:cfRule type="expression" dxfId="0" priority="85">
      <x:formula>H25="OK"</x:formula>
    </x:cfRule>
    <x:cfRule type="expression" dxfId="0" priority="86">
      <x:formula>H25="Très bon"</x:formula>
    </x:cfRule>
    <x:cfRule type="expression" dxfId="1" priority="87">
      <x:formula>H25="Alerte"</x:formula>
    </x:cfRule>
    <x:cfRule type="expression" dxfId="2" priority="88">
      <x:formula>H25="Attention"</x:formula>
    </x:cfRule>
  </x:conditionalFormatting>
  <x:conditionalFormatting sqref="H26:H26">
    <x:cfRule type="expression" dxfId="0" priority="89">
      <x:formula>H26="OK"</x:formula>
    </x:cfRule>
    <x:cfRule type="expression" dxfId="0" priority="90">
      <x:formula>H26="Très bon"</x:formula>
    </x:cfRule>
    <x:cfRule type="expression" dxfId="1" priority="91">
      <x:formula>H26="Alerte"</x:formula>
    </x:cfRule>
    <x:cfRule type="expression" dxfId="2" priority="92">
      <x:formula>H26="Attention"</x:formula>
    </x:cfRule>
  </x:conditionalFormatting>
  <x:conditionalFormatting sqref="H27:H27">
    <x:cfRule type="expression" dxfId="0" priority="93">
      <x:formula>H27="OK"</x:formula>
    </x:cfRule>
    <x:cfRule type="expression" dxfId="0" priority="94">
      <x:formula>H27="Très bon"</x:formula>
    </x:cfRule>
    <x:cfRule type="expression" dxfId="1" priority="95">
      <x:formula>H27="Alerte"</x:formula>
    </x:cfRule>
    <x:cfRule type="expression" dxfId="2" priority="96">
      <x:formula>H27="Attention"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customWidth="1"/>
    <x:col min="2" max="2" width="90" customWidth="1"/>
    <x:col min="3" max="3" width="20" customWidth="1"/>
    <x:col min="4" max="4" width="20" customWidth="1"/>
    <x:col min="5" max="5" width="20" customWidth="1"/>
    <x:col min="6" max="6" width="20" customWidth="1"/>
  </x:cols>
  <x:sheetData>
    <x:row r="1">
      <x:c r="A1" s="9" t="inlineStr">
        <x:is>
          <x:t xml:space="preserve">Guide rapide</x:t>
        </x:is>
      </x:c>
    </x:row>
    <x:row r="3">
      <x:c r="A3" s="7" t="inlineStr">
        <x:is>
          <x:t xml:space="preserve">1) Choisir le secteur et la zone</x:t>
        </x:is>
      </x:c>
    </x:row>
    <x:row r="4">
      <x:c r="A4" t="inlineStr">
        <x:is>
          <x:t xml:space="preserve">Ouvrez l’onglet Paramètres et sélectionnez Secteur + Pays/Zone. Les ratios se recalculent automatiquement.</x:t>
        </x:is>
      </x:c>
    </x:row>
    <x:row r="6">
      <x:c r="A6" s="7" t="inlineStr">
        <x:is>
          <x:t xml:space="preserve">2) Saisir Bilan, Compte de résultat, Cash-flow</x:t>
        </x:is>
      </x:c>
    </x:row>
    <x:row r="7">
      <x:c r="A7" t="inlineStr">
        <x:is>
          <x:t xml:space="preserve">Remplissez uniquement les cellules jaunes. L’onglet Ratios compare vos résultats aux références.</x:t>
        </x:is>
      </x:c>
    </x:row>
    <x:row r="9">
      <x:c r="A9" s="7" t="inlineStr">
        <x:is>
          <x:t xml:space="preserve">3) Adapter les références (benchmarks)</x:t>
        </x:is>
      </x:c>
    </x:row>
    <x:row r="10">
      <x:c r="A10" s="8" t="inlineStr">
        <x:is>
          <x:t xml:space="preserve">Les repères fournis sont génériques. Pour des références officielles :
• France : Banque de France – Fascicules d’indicateurs sectoriels.
• Belgique : NBB – Central Balance Sheet Office / statistiques NBB.Stat.
Copiez/collez des médianes/quartiles dans l’onglet Références (colonnes Bas/Haut).</x:t>
        </x:is>
      </x:c>
    </x:row>
    <x:row r="11"/>
    <x:row r="12"/>
    <x:row r="13"/>
    <x:row r="14"/>
    <x:row r="16">
      <x:c r="A16" s="7" t="inlineStr">
        <x:is>
          <x:t xml:space="preserve">Sources (liens)</x:t>
        </x:is>
      </x:c>
    </x:row>
    <x:row r="17">
      <x:c r="A17" s="25" t="inlineStr">
        <x:is>
          <x:t xml:space="preserve">Intitulé</x:t>
        </x:is>
      </x:c>
      <x:c r="B17" s="25" t="inlineStr">
        <x:is>
          <x:t xml:space="preserve">URL</x:t>
        </x:is>
      </x:c>
    </x:row>
    <x:row r="18">
      <x:c r="A18" s="17" t="inlineStr">
        <x:is>
          <x:t xml:space="preserve">Damodaran – Margins by Industry</x:t>
        </x:is>
      </x:c>
      <x:c r="B18" s="17" t="inlineStr">
        <x:is>
          <x:t xml:space="preserve">https://pages.stern.nyu.edu/~adamodar/New_Home_Page/datafile/margin.html</x:t>
        </x:is>
      </x:c>
    </x:row>
    <x:row r="19">
      <x:c r="A19" s="17" t="inlineStr">
        <x:is>
          <x:t xml:space="preserve">Banque de France – Fascicules sectoriels</x:t>
        </x:is>
      </x:c>
      <x:c r="B19" s="17" t="inlineStr">
        <x:is>
          <x:t xml:space="preserve">https://www.banque-france.fr/fr/publications-et-statistiques/statistiques/fascicules-dindicateurs-sectoriels</x:t>
        </x:is>
      </x:c>
    </x:row>
    <x:row r="20">
      <x:c r="A20" s="17" t="inlineStr">
        <x:is>
          <x:t xml:space="preserve">France – délais de paiement (Service-Public)</x:t>
        </x:is>
      </x:c>
      <x:c r="B20" s="17" t="inlineStr">
        <x:is>
          <x:t xml:space="preserve">https://entreprendre.service-public.gouv.fr/vosdroits/F23211</x:t>
        </x:is>
      </x:c>
    </x:row>
    <x:row r="21">
      <x:c r="A21" s="17" t="inlineStr">
        <x:is>
          <x:t xml:space="preserve">France – règles (DGCCRF)</x:t>
        </x:is>
      </x:c>
      <x:c r="B21" s="17" t="inlineStr">
        <x:is>
          <x:t xml:space="preserve">https://www.economie.gouv.fr/dgccrf/les-fiches-pratiques/delais-de-paiement-les-regles-connaitre</x:t>
        </x:is>
      </x:c>
    </x:row>
    <x:row r="22">
      <x:c r="A22" s="17" t="inlineStr">
        <x:is>
          <x:t xml:space="preserve">Belgique – retard de paiement (Justice)</x:t>
        </x:is>
      </x:c>
      <x:c r="B22" s="17" t="inlineStr">
        <x:is>
          <x:t xml:space="preserve">https://justice.belgium.be/fr/nouvelles/communiques_de_presse/lutte_contre_le_retard_de_paiement_dans_les_transactions_0</x:t>
        </x:is>
      </x:c>
    </x:row>
    <x:row r="23">
      <x:c r="A23" s="17" t="inlineStr">
        <x:is>
          <x:t xml:space="preserve">UE – Late Payment Directive (EUR-Lex)</x:t>
        </x:is>
      </x:c>
      <x:c r="B23" s="17" t="inlineStr">
        <x:is>
          <x:t xml:space="preserve">https://eur-lex.europa.eu/EN/legal-content/summary/combating-late-payment-in-business-dealings.html</x:t>
        </x:is>
      </x:c>
    </x:row>
    <x:row r="24">
      <x:c r="A24" s="17" t="inlineStr">
        <x:is>
          <x:t xml:space="preserve">OHADA – Accounting Law</x:t>
        </x:is>
      </x:c>
      <x:c r="B24" s="17" t="inlineStr">
        <x:is>
          <x:t xml:space="preserve">https://www.ohada.org/en/ohada-accounting-law/</x:t>
        </x:is>
      </x:c>
    </x:row>
  </x:sheetData>
  <x:mergeCells>
    <x:mergeCell ref="A10:F14"/>
    <x:mergeCell ref="A1:F1"/>
    <x:mergeCell ref="A7:F7"/>
    <x:mergeCell ref="A4:F4"/>
  </x:mergeCells>
  <x:pageMargins left="0.7" right="0.7" top="0.75" bottom="0.75" header="0.3" footer="0.3"/>
</x:worksheet>
</file>