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otation détaillée" sheetId="1" r:id="rId1"/>
    <sheet name="Classement &amp; Observations" sheetId="2" r:id="rId2"/>
    <sheet name="Graphiques" sheetId="3" r:id="rId3"/>
    <sheet name="Post-MAJ 2026-03-03"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0.0"/>
    <numFmt numFmtId="165"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58"/>
  <sheetViews>
    <sheetView workbookViewId="0" rightToLeft="0"/>
  </sheetViews>
  <sheetData>
    <row r="1">
      <c r="A1" t="str">
        <v>NOTATION DÉTAILLÉE PAR AXE FONCTIONNEL</v>
      </c>
    </row>
    <row r="2">
      <c r="A2" t="str">
        <v>Barème : 3 = Oui natif complet  |  2-2.5 = Partiel ou via addon  |  1-1.5 = Très limité  |  0-0.5 = Non disponible  —  Coeff : 1 à 2 selon criticité</v>
      </c>
    </row>
    <row r="4" xml:space="preserve">
      <c r="A4" t="str">
        <v>Axe fonctionnel</v>
      </c>
      <c r="B4" t="str">
        <v>Coeff.</v>
      </c>
      <c r="C4" t="str" xml:space="preserve">
        <v xml:space="preserve">CashPilot - DMG MANAGEMENT
(/3)</v>
      </c>
      <c r="D4" t="str" xml:space="preserve">
        <v xml:space="preserve">QuickBooks
(/3)</v>
      </c>
      <c r="E4" t="str" xml:space="preserve">
        <v xml:space="preserve">WinBooks
(/3)</v>
      </c>
      <c r="F4" t="str" xml:space="preserve">
        <v xml:space="preserve">Sage Saari
(/3)</v>
      </c>
      <c r="G4" t="str" xml:space="preserve">
        <v xml:space="preserve">CashPilot
Pondéré</v>
      </c>
      <c r="H4" t="str" xml:space="preserve">
        <v xml:space="preserve">QuickBooks
Pondéré</v>
      </c>
      <c r="I4" t="str" xml:space="preserve">
        <v xml:space="preserve">WinBooks
Pondéré</v>
      </c>
      <c r="J4" t="str" xml:space="preserve">
        <v xml:space="preserve">Sage Saari
Pondéré</v>
      </c>
    </row>
    <row r="5">
      <c r="A5" t="str">
        <v>GESTION CLIENTS &amp; VENTES</v>
      </c>
    </row>
    <row r="6">
      <c r="A6" t="str">
        <v>CRM clients</v>
      </c>
      <c r="B6">
        <v>1.5</v>
      </c>
      <c r="C6">
        <v>3</v>
      </c>
      <c r="D6">
        <v>1.5</v>
      </c>
      <c r="E6">
        <v>2</v>
      </c>
      <c r="F6">
        <v>1.5</v>
      </c>
      <c r="G6">
        <f>C6*B6</f>
        <v>4.5</v>
      </c>
      <c r="H6">
        <f>D6*B6</f>
        <v>2.25</v>
      </c>
      <c r="I6">
        <f>E6*B6</f>
        <v>3</v>
      </c>
      <c r="J6">
        <f>F6*B6</f>
        <v>2.25</v>
      </c>
    </row>
    <row r="7">
      <c r="A7" t="str">
        <v>Portail client</v>
      </c>
      <c r="B7">
        <v>1.5</v>
      </c>
      <c r="C7">
        <v>3</v>
      </c>
      <c r="D7">
        <v>1</v>
      </c>
      <c r="E7">
        <v>2.5</v>
      </c>
      <c r="F7">
        <v>0.5</v>
      </c>
      <c r="G7">
        <f>C7*B7</f>
        <v>4.5</v>
      </c>
      <c r="H7">
        <f>D7*B7</f>
        <v>1.5</v>
      </c>
      <c r="I7">
        <f>E7*B7</f>
        <v>3.75</v>
      </c>
      <c r="J7">
        <f>F7*B7</f>
        <v>0.75</v>
      </c>
    </row>
    <row r="8">
      <c r="A8" t="str">
        <v>Devis</v>
      </c>
      <c r="B8">
        <v>1</v>
      </c>
      <c r="C8">
        <v>3</v>
      </c>
      <c r="D8">
        <v>3</v>
      </c>
      <c r="E8">
        <v>2.5</v>
      </c>
      <c r="F8">
        <v>2.5</v>
      </c>
      <c r="G8">
        <f>C8*B8</f>
        <v>3</v>
      </c>
      <c r="H8">
        <f>D8*B8</f>
        <v>3</v>
      </c>
      <c r="I8">
        <f>E8*B8</f>
        <v>2.5</v>
      </c>
      <c r="J8">
        <f>F8*B8</f>
        <v>2.5</v>
      </c>
    </row>
    <row r="9">
      <c r="A9" t="str">
        <v>Facturation standard</v>
      </c>
      <c r="B9">
        <v>2</v>
      </c>
      <c r="C9">
        <v>3</v>
      </c>
      <c r="D9">
        <v>3</v>
      </c>
      <c r="E9">
        <v>3</v>
      </c>
      <c r="F9">
        <v>2.5</v>
      </c>
      <c r="G9">
        <f>C9*B9</f>
        <v>6</v>
      </c>
      <c r="H9">
        <f>D9*B9</f>
        <v>6</v>
      </c>
      <c r="I9">
        <f>E9*B9</f>
        <v>6</v>
      </c>
      <c r="J9">
        <f>F9*B9</f>
        <v>5</v>
      </c>
    </row>
    <row r="10">
      <c r="A10" t="str">
        <v>Facturation rapide</v>
      </c>
      <c r="B10">
        <v>1</v>
      </c>
      <c r="C10">
        <v>3</v>
      </c>
      <c r="D10">
        <v>1</v>
      </c>
      <c r="E10">
        <v>0.5</v>
      </c>
      <c r="F10">
        <v>0.5</v>
      </c>
      <c r="G10">
        <f>C10*B10</f>
        <v>3</v>
      </c>
      <c r="H10">
        <f>D10*B10</f>
        <v>1</v>
      </c>
      <c r="I10">
        <f>E10*B10</f>
        <v>0.5</v>
      </c>
      <c r="J10">
        <f>F10*B10</f>
        <v>0.5</v>
      </c>
    </row>
    <row r="11">
      <c r="A11" t="str">
        <v>Factures récurrentes</v>
      </c>
      <c r="B11">
        <v>1.5</v>
      </c>
      <c r="C11">
        <v>3</v>
      </c>
      <c r="D11">
        <v>3</v>
      </c>
      <c r="E11">
        <v>1.5</v>
      </c>
      <c r="F11">
        <v>1.5</v>
      </c>
      <c r="G11">
        <f>C11*B11</f>
        <v>4.5</v>
      </c>
      <c r="H11">
        <f>D11*B11</f>
        <v>4.5</v>
      </c>
      <c r="I11">
        <f>E11*B11</f>
        <v>2.25</v>
      </c>
      <c r="J11">
        <f>F11*B11</f>
        <v>2.25</v>
      </c>
    </row>
    <row r="12">
      <c r="A12" t="str">
        <v>Avoirs</v>
      </c>
      <c r="B12">
        <v>1</v>
      </c>
      <c r="C12">
        <v>3</v>
      </c>
      <c r="D12">
        <v>3</v>
      </c>
      <c r="E12">
        <v>3</v>
      </c>
      <c r="F12">
        <v>2.5</v>
      </c>
      <c r="G12">
        <f>C12*B12</f>
        <v>3</v>
      </c>
      <c r="H12">
        <f>D12*B12</f>
        <v>3</v>
      </c>
      <c r="I12">
        <f>E12*B12</f>
        <v>3</v>
      </c>
      <c r="J12">
        <f>F12*B12</f>
        <v>2.5</v>
      </c>
    </row>
    <row r="13">
      <c r="A13" t="str">
        <v>Bons de livraison</v>
      </c>
      <c r="B13">
        <v>1</v>
      </c>
      <c r="C13">
        <v>3</v>
      </c>
      <c r="D13">
        <v>1.5</v>
      </c>
      <c r="E13">
        <v>2.5</v>
      </c>
      <c r="F13">
        <v>3</v>
      </c>
      <c r="G13">
        <f>C13*B13</f>
        <v>3</v>
      </c>
      <c r="H13">
        <f>D13*B13</f>
        <v>1.5</v>
      </c>
      <c r="I13">
        <f>E13*B13</f>
        <v>2.5</v>
      </c>
      <c r="J13">
        <f>F13*B13</f>
        <v>3</v>
      </c>
    </row>
    <row r="14">
      <c r="A14" t="str">
        <v>Paiements et reçus</v>
      </c>
      <c r="B14">
        <v>1.5</v>
      </c>
      <c r="C14">
        <v>3</v>
      </c>
      <c r="D14">
        <v>3</v>
      </c>
      <c r="E14">
        <v>2.5</v>
      </c>
      <c r="F14">
        <v>2</v>
      </c>
      <c r="G14">
        <f>C14*B14</f>
        <v>4.5</v>
      </c>
      <c r="H14">
        <f>D14*B14</f>
        <v>4.5</v>
      </c>
      <c r="I14">
        <f>E14*B14</f>
        <v>3.75</v>
      </c>
      <c r="J14">
        <f>F14*B14</f>
        <v>3</v>
      </c>
    </row>
    <row r="15">
      <c r="A15" t="str">
        <v>Relances automatiques</v>
      </c>
      <c r="B15">
        <v>1.5</v>
      </c>
      <c r="C15">
        <v>3</v>
      </c>
      <c r="D15">
        <v>2.5</v>
      </c>
      <c r="E15">
        <v>2.5</v>
      </c>
      <c r="F15">
        <v>1.5</v>
      </c>
      <c r="G15">
        <f>C15*B15</f>
        <v>4.5</v>
      </c>
      <c r="H15">
        <f>D15*B15</f>
        <v>3.75</v>
      </c>
      <c r="I15">
        <f>E15*B15</f>
        <v>3.75</v>
      </c>
      <c r="J15">
        <f>F15*B15</f>
        <v>2.25</v>
      </c>
    </row>
    <row r="16">
      <c r="A16" t="str">
        <v>GESTION FOURNISSEURS &amp; ACHATS</v>
      </c>
    </row>
    <row r="17">
      <c r="A17" t="str">
        <v>Fournisseurs</v>
      </c>
      <c r="B17">
        <v>1</v>
      </c>
      <c r="C17">
        <v>3</v>
      </c>
      <c r="D17">
        <v>2.5</v>
      </c>
      <c r="E17">
        <v>3</v>
      </c>
      <c r="F17">
        <v>2.5</v>
      </c>
      <c r="G17">
        <f>C17*B17</f>
        <v>3</v>
      </c>
      <c r="H17">
        <f>D17*B17</f>
        <v>2.5</v>
      </c>
      <c r="I17">
        <f>E17*B17</f>
        <v>3</v>
      </c>
      <c r="J17">
        <f>F17*B17</f>
        <v>2.5</v>
      </c>
    </row>
    <row r="18">
      <c r="A18" t="str">
        <v>Commandes fournisseur</v>
      </c>
      <c r="B18">
        <v>1</v>
      </c>
      <c r="C18">
        <v>3</v>
      </c>
      <c r="D18">
        <v>2.5</v>
      </c>
      <c r="E18">
        <v>3</v>
      </c>
      <c r="F18">
        <v>3</v>
      </c>
      <c r="G18">
        <f>C18*B18</f>
        <v>3</v>
      </c>
      <c r="H18">
        <f>D18*B18</f>
        <v>2.5</v>
      </c>
      <c r="I18">
        <f>E18*B18</f>
        <v>3</v>
      </c>
      <c r="J18">
        <f>F18*B18</f>
        <v>3</v>
      </c>
    </row>
    <row r="19">
      <c r="A19" t="str">
        <v>Factures fournisseurs</v>
      </c>
      <c r="B19">
        <v>1.5</v>
      </c>
      <c r="C19">
        <v>3</v>
      </c>
      <c r="D19">
        <v>2.5</v>
      </c>
      <c r="E19">
        <v>3</v>
      </c>
      <c r="F19">
        <v>2.5</v>
      </c>
      <c r="G19">
        <f>C19*B19</f>
        <v>4.5</v>
      </c>
      <c r="H19">
        <f>D19*B19</f>
        <v>3.75</v>
      </c>
      <c r="I19">
        <f>E19*B19</f>
        <v>4.5</v>
      </c>
      <c r="J19">
        <f>F19*B19</f>
        <v>3.75</v>
      </c>
    </row>
    <row r="20">
      <c r="A20" t="str">
        <v>OCR facture fournisseur</v>
      </c>
      <c r="B20">
        <v>2</v>
      </c>
      <c r="C20">
        <v>3</v>
      </c>
      <c r="D20">
        <v>1.5</v>
      </c>
      <c r="E20">
        <v>2.5</v>
      </c>
      <c r="F20">
        <v>1</v>
      </c>
      <c r="G20">
        <f>C20*B20</f>
        <v>6</v>
      </c>
      <c r="H20">
        <f>D20*B20</f>
        <v>3</v>
      </c>
      <c r="I20">
        <f>E20*B20</f>
        <v>5</v>
      </c>
      <c r="J20">
        <f>F20*B20</f>
        <v>2</v>
      </c>
    </row>
    <row r="21">
      <c r="A21" t="str">
        <v>Rapports fournisseurs</v>
      </c>
      <c r="B21">
        <v>1</v>
      </c>
      <c r="C21">
        <v>3</v>
      </c>
      <c r="D21">
        <v>2.5</v>
      </c>
      <c r="E21">
        <v>2.5</v>
      </c>
      <c r="F21">
        <v>2</v>
      </c>
      <c r="G21">
        <f>C21*B21</f>
        <v>3</v>
      </c>
      <c r="H21">
        <f>D21*B21</f>
        <v>2.5</v>
      </c>
      <c r="I21">
        <f>E21*B21</f>
        <v>2.5</v>
      </c>
      <c r="J21">
        <f>F21*B21</f>
        <v>2</v>
      </c>
    </row>
    <row r="22">
      <c r="A22" t="str">
        <v>PRODUITS, STOCK &amp; CATALOGUE</v>
      </c>
    </row>
    <row r="23">
      <c r="A23" t="str">
        <v>Produits / services / catégories</v>
      </c>
      <c r="B23">
        <v>1</v>
      </c>
      <c r="C23">
        <v>3</v>
      </c>
      <c r="D23">
        <v>2.5</v>
      </c>
      <c r="E23">
        <v>3</v>
      </c>
      <c r="F23">
        <v>3</v>
      </c>
      <c r="G23">
        <f>C23*B23</f>
        <v>3</v>
      </c>
      <c r="H23">
        <f>D23*B23</f>
        <v>2.5</v>
      </c>
      <c r="I23">
        <f>E23*B23</f>
        <v>3</v>
      </c>
      <c r="J23">
        <f>F23*B23</f>
        <v>3</v>
      </c>
    </row>
    <row r="24">
      <c r="A24" t="str">
        <v>Stock</v>
      </c>
      <c r="B24">
        <v>1.5</v>
      </c>
      <c r="C24">
        <v>3</v>
      </c>
      <c r="D24">
        <v>2</v>
      </c>
      <c r="E24">
        <v>3</v>
      </c>
      <c r="F24">
        <v>3</v>
      </c>
      <c r="G24">
        <f>C24*B24</f>
        <v>4.5</v>
      </c>
      <c r="H24">
        <f>D24*B24</f>
        <v>3</v>
      </c>
      <c r="I24">
        <f>E24*B24</f>
        <v>4.5</v>
      </c>
      <c r="J24">
        <f>F24*B24</f>
        <v>4.5</v>
      </c>
    </row>
    <row r="25">
      <c r="A25" t="str">
        <v>Barcode scanner</v>
      </c>
      <c r="B25">
        <v>1</v>
      </c>
      <c r="C25">
        <v>3</v>
      </c>
      <c r="D25">
        <v>0.5</v>
      </c>
      <c r="E25">
        <v>0.5</v>
      </c>
      <c r="F25">
        <v>0.5</v>
      </c>
      <c r="G25">
        <f>C25*B25</f>
        <v>3</v>
      </c>
      <c r="H25">
        <f>D25*B25</f>
        <v>0.5</v>
      </c>
      <c r="I25">
        <f>E25*B25</f>
        <v>0.5</v>
      </c>
      <c r="J25">
        <f>F25*B25</f>
        <v>0.5</v>
      </c>
    </row>
    <row r="26">
      <c r="A26" t="str">
        <v>PROJETS &amp; TIMESHEETS</v>
      </c>
    </row>
    <row r="27">
      <c r="A27" t="str">
        <v>Projets</v>
      </c>
      <c r="B27">
        <v>1</v>
      </c>
      <c r="C27">
        <v>3</v>
      </c>
      <c r="D27">
        <v>2.5</v>
      </c>
      <c r="E27">
        <v>2</v>
      </c>
      <c r="F27">
        <v>1</v>
      </c>
      <c r="G27">
        <f>C27*B27</f>
        <v>3</v>
      </c>
      <c r="H27">
        <f>D27*B27</f>
        <v>2.5</v>
      </c>
      <c r="I27">
        <f>E27*B27</f>
        <v>2</v>
      </c>
      <c r="J27">
        <f>F27*B27</f>
        <v>1</v>
      </c>
    </row>
    <row r="28">
      <c r="A28" t="str">
        <v>Timesheets</v>
      </c>
      <c r="B28">
        <v>1</v>
      </c>
      <c r="C28">
        <v>3</v>
      </c>
      <c r="D28">
        <v>3</v>
      </c>
      <c r="E28">
        <v>2.5</v>
      </c>
      <c r="F28">
        <v>0.5</v>
      </c>
      <c r="G28">
        <f>C28*B28</f>
        <v>3</v>
      </c>
      <c r="H28">
        <f>D28*B28</f>
        <v>3</v>
      </c>
      <c r="I28">
        <f>E28*B28</f>
        <v>2.5</v>
      </c>
      <c r="J28">
        <f>F28*B28</f>
        <v>0.5</v>
      </c>
    </row>
    <row r="29">
      <c r="A29" t="str">
        <v>COMPTABILITÉ</v>
      </c>
    </row>
    <row r="30">
      <c r="A30" t="str">
        <v>Comptabilité FR / BE / OHADA</v>
      </c>
      <c r="B30">
        <v>2</v>
      </c>
      <c r="C30">
        <v>3</v>
      </c>
      <c r="D30">
        <v>0.5</v>
      </c>
      <c r="E30">
        <v>2.5</v>
      </c>
      <c r="F30">
        <v>2.5</v>
      </c>
      <c r="G30">
        <f>C30*B30</f>
        <v>6</v>
      </c>
      <c r="H30">
        <f>D30*B30</f>
        <v>1</v>
      </c>
      <c r="I30">
        <f>E30*B30</f>
        <v>5</v>
      </c>
      <c r="J30">
        <f>F30*B30</f>
        <v>5</v>
      </c>
    </row>
    <row r="31">
      <c r="A31" t="str">
        <v>Écritures automatiques</v>
      </c>
      <c r="B31">
        <v>1.5</v>
      </c>
      <c r="C31">
        <v>3</v>
      </c>
      <c r="D31">
        <v>2.5</v>
      </c>
      <c r="E31">
        <v>3</v>
      </c>
      <c r="F31">
        <v>2.5</v>
      </c>
      <c r="G31">
        <f>C31*B31</f>
        <v>4.5</v>
      </c>
      <c r="H31">
        <f>D31*B31</f>
        <v>3.75</v>
      </c>
      <c r="I31">
        <f>E31*B31</f>
        <v>4.5</v>
      </c>
      <c r="J31">
        <f>F31*B31</f>
        <v>3.75</v>
      </c>
    </row>
    <row r="32">
      <c r="A32" t="str">
        <v>Bilan / P&amp;L / TVA / Journal / GL</v>
      </c>
      <c r="B32">
        <v>2</v>
      </c>
      <c r="C32">
        <v>3</v>
      </c>
      <c r="D32">
        <v>2.5</v>
      </c>
      <c r="E32">
        <v>3</v>
      </c>
      <c r="F32">
        <v>3</v>
      </c>
      <c r="G32">
        <f>C32*B32</f>
        <v>6</v>
      </c>
      <c r="H32">
        <f>D32*B32</f>
        <v>5</v>
      </c>
      <c r="I32">
        <f>E32*B32</f>
        <v>6</v>
      </c>
      <c r="J32">
        <f>F32*B32</f>
        <v>6</v>
      </c>
    </row>
    <row r="33">
      <c r="A33" t="str">
        <v>Audit comptable</v>
      </c>
      <c r="B33">
        <v>1.5</v>
      </c>
      <c r="C33">
        <v>3</v>
      </c>
      <c r="D33">
        <v>2</v>
      </c>
      <c r="E33">
        <v>2.5</v>
      </c>
      <c r="F33">
        <v>2.5</v>
      </c>
      <c r="G33">
        <f>C33*B33</f>
        <v>4.5</v>
      </c>
      <c r="H33">
        <f>D33*B33</f>
        <v>3</v>
      </c>
      <c r="I33">
        <f>E33*B33</f>
        <v>3.75</v>
      </c>
      <c r="J33">
        <f>F33*B33</f>
        <v>3.75</v>
      </c>
    </row>
    <row r="34">
      <c r="A34" t="str">
        <v>BANQUE &amp; TRÉSORERIE</v>
      </c>
    </row>
    <row r="35">
      <c r="A35" t="str">
        <v>Banque connectée</v>
      </c>
      <c r="B35">
        <v>1.5</v>
      </c>
      <c r="C35">
        <v>3</v>
      </c>
      <c r="D35">
        <v>3</v>
      </c>
      <c r="E35">
        <v>3</v>
      </c>
      <c r="F35">
        <v>2</v>
      </c>
      <c r="G35">
        <f>C35*B35</f>
        <v>4.5</v>
      </c>
      <c r="H35">
        <f>D35*B35</f>
        <v>4.5</v>
      </c>
      <c r="I35">
        <f>E35*B35</f>
        <v>4.5</v>
      </c>
      <c r="J35">
        <f>F35*B35</f>
        <v>3</v>
      </c>
    </row>
    <row r="36">
      <c r="A36" t="str">
        <v>Rapprochement bancaire</v>
      </c>
      <c r="B36">
        <v>2</v>
      </c>
      <c r="C36">
        <v>3</v>
      </c>
      <c r="D36">
        <v>2.5</v>
      </c>
      <c r="E36">
        <v>2.5</v>
      </c>
      <c r="F36">
        <v>2</v>
      </c>
      <c r="G36">
        <f>C36*B36</f>
        <v>6</v>
      </c>
      <c r="H36">
        <f>D36*B36</f>
        <v>5</v>
      </c>
      <c r="I36">
        <f>E36*B36</f>
        <v>5</v>
      </c>
      <c r="J36">
        <f>F36*B36</f>
        <v>4</v>
      </c>
    </row>
    <row r="37">
      <c r="A37" t="str">
        <v>Cash flow / obligations</v>
      </c>
      <c r="B37">
        <v>1.5</v>
      </c>
      <c r="C37">
        <v>3</v>
      </c>
      <c r="D37">
        <v>2.5</v>
      </c>
      <c r="E37">
        <v>2</v>
      </c>
      <c r="F37">
        <v>2</v>
      </c>
      <c r="G37">
        <f>C37*B37</f>
        <v>4.5</v>
      </c>
      <c r="H37">
        <f>D37*B37</f>
        <v>3.75</v>
      </c>
      <c r="I37">
        <f>E37*B37</f>
        <v>3</v>
      </c>
      <c r="J37">
        <f>F37*B37</f>
        <v>3</v>
      </c>
    </row>
    <row r="38">
      <c r="A38" t="str">
        <v>ANALYTICS &amp; PILOTAGE</v>
      </c>
    </row>
    <row r="39">
      <c r="A39" t="str">
        <v>Analytics</v>
      </c>
      <c r="B39">
        <v>1.5</v>
      </c>
      <c r="C39">
        <v>3</v>
      </c>
      <c r="D39">
        <v>3</v>
      </c>
      <c r="E39">
        <v>2.5</v>
      </c>
      <c r="F39">
        <v>1.5</v>
      </c>
      <c r="G39">
        <f>C39*B39</f>
        <v>4.5</v>
      </c>
      <c r="H39">
        <f>D39*B39</f>
        <v>4.5</v>
      </c>
      <c r="I39">
        <f>E39*B39</f>
        <v>3.75</v>
      </c>
      <c r="J39">
        <f>F39*B39</f>
        <v>2.25</v>
      </c>
    </row>
    <row r="40">
      <c r="A40" t="str">
        <v>Scénarios financiers</v>
      </c>
      <c r="B40">
        <v>2</v>
      </c>
      <c r="C40">
        <v>3</v>
      </c>
      <c r="D40">
        <v>1</v>
      </c>
      <c r="E40">
        <v>0.5</v>
      </c>
      <c r="F40">
        <v>0.5</v>
      </c>
      <c r="G40">
        <f>C40*B40</f>
        <v>6</v>
      </c>
      <c r="H40">
        <f>D40*B40</f>
        <v>2</v>
      </c>
      <c r="I40">
        <f>E40*B40</f>
        <v>1</v>
      </c>
      <c r="J40">
        <f>F40*B40</f>
        <v>1</v>
      </c>
    </row>
    <row r="41">
      <c r="A41" t="str">
        <v>Pilotage stratégique</v>
      </c>
      <c r="B41">
        <v>2</v>
      </c>
      <c r="C41">
        <v>3</v>
      </c>
      <c r="D41">
        <v>0.5</v>
      </c>
      <c r="E41">
        <v>1</v>
      </c>
      <c r="F41">
        <v>0.5</v>
      </c>
      <c r="G41">
        <f>C41*B41</f>
        <v>6</v>
      </c>
      <c r="H41">
        <f>D41*B41</f>
        <v>1</v>
      </c>
      <c r="I41">
        <f>E41*B41</f>
        <v>2</v>
      </c>
      <c r="J41">
        <f>F41*B41</f>
        <v>1</v>
      </c>
    </row>
    <row r="42">
      <c r="A42" t="str">
        <v>INTELLIGENCE ARTIFICIELLE</v>
      </c>
    </row>
    <row r="43">
      <c r="A43" t="str">
        <v>IA conversationnelle</v>
      </c>
      <c r="B43">
        <v>2</v>
      </c>
      <c r="C43">
        <v>3</v>
      </c>
      <c r="D43">
        <v>2.5</v>
      </c>
      <c r="E43">
        <v>0</v>
      </c>
      <c r="F43">
        <v>2</v>
      </c>
      <c r="G43">
        <f>C43*B43</f>
        <v>6</v>
      </c>
      <c r="H43">
        <f>D43*B43</f>
        <v>5</v>
      </c>
      <c r="I43">
        <f>E43*B43</f>
        <v>0</v>
      </c>
      <c r="J43">
        <f>F43*B43</f>
        <v>4</v>
      </c>
    </row>
    <row r="44">
      <c r="A44" t="str">
        <v>IA métier multiple</v>
      </c>
      <c r="B44">
        <v>2</v>
      </c>
      <c r="C44">
        <v>3</v>
      </c>
      <c r="D44">
        <v>1.5</v>
      </c>
      <c r="E44">
        <v>1</v>
      </c>
      <c r="F44">
        <v>1</v>
      </c>
      <c r="G44">
        <f>C44*B44</f>
        <v>6</v>
      </c>
      <c r="H44">
        <f>D44*B44</f>
        <v>3</v>
      </c>
      <c r="I44">
        <f>E44*B44</f>
        <v>2</v>
      </c>
      <c r="J44">
        <f>F44*B44</f>
        <v>2</v>
      </c>
    </row>
    <row r="45">
      <c r="A45" t="str">
        <v>INTÉGRATIONS &amp; INTEROPÉRABILITÉ</v>
      </c>
    </row>
    <row r="46">
      <c r="A46" t="str">
        <v>Peppol</v>
      </c>
      <c r="B46">
        <v>2</v>
      </c>
      <c r="C46">
        <v>3</v>
      </c>
      <c r="D46">
        <v>0.5</v>
      </c>
      <c r="E46">
        <v>3</v>
      </c>
      <c r="F46">
        <v>2</v>
      </c>
      <c r="G46">
        <f>C46*B46</f>
        <v>6</v>
      </c>
      <c r="H46">
        <f>D46*B46</f>
        <v>1</v>
      </c>
      <c r="I46">
        <f>E46*B46</f>
        <v>6</v>
      </c>
      <c r="J46">
        <f>F46*B46</f>
        <v>4</v>
      </c>
    </row>
    <row r="47">
      <c r="A47" t="str">
        <v>API REST</v>
      </c>
      <c r="B47">
        <v>1.5</v>
      </c>
      <c r="C47">
        <v>3</v>
      </c>
      <c r="D47">
        <v>3</v>
      </c>
      <c r="E47">
        <v>1.5</v>
      </c>
      <c r="F47">
        <v>1</v>
      </c>
      <c r="G47">
        <f>C47*B47</f>
        <v>4.5</v>
      </c>
      <c r="H47">
        <f>D47*B47</f>
        <v>4.5</v>
      </c>
      <c r="I47">
        <f>E47*B47</f>
        <v>2.25</v>
      </c>
      <c r="J47">
        <f>F47*B47</f>
        <v>1.5</v>
      </c>
    </row>
    <row r="48">
      <c r="A48" t="str">
        <v>Webhooks</v>
      </c>
      <c r="B48">
        <v>1.5</v>
      </c>
      <c r="C48">
        <v>3</v>
      </c>
      <c r="D48">
        <v>3</v>
      </c>
      <c r="E48">
        <v>0</v>
      </c>
      <c r="F48">
        <v>0</v>
      </c>
      <c r="G48">
        <f>C48*B48</f>
        <v>4.5</v>
      </c>
      <c r="H48">
        <f>D48*B48</f>
        <v>4.5</v>
      </c>
      <c r="I48">
        <f>E48*B48</f>
        <v>0</v>
      </c>
      <c r="J48">
        <f>F48*B48</f>
        <v>0</v>
      </c>
    </row>
    <row r="49">
      <c r="A49" t="str">
        <v>MCP / LLM connectors</v>
      </c>
      <c r="B49">
        <v>2</v>
      </c>
      <c r="C49">
        <v>3</v>
      </c>
      <c r="D49">
        <v>0</v>
      </c>
      <c r="E49">
        <v>0</v>
      </c>
      <c r="F49">
        <v>0</v>
      </c>
      <c r="G49">
        <f>C49*B49</f>
        <v>6</v>
      </c>
      <c r="H49">
        <f>D49*B49</f>
        <v>0</v>
      </c>
      <c r="I49">
        <f>E49*B49</f>
        <v>0</v>
      </c>
      <c r="J49">
        <f>F49*B49</f>
        <v>0</v>
      </c>
    </row>
    <row r="50">
      <c r="A50" t="str">
        <v>SÉCURITÉ &amp; GOUVERNANCE</v>
      </c>
    </row>
    <row r="51">
      <c r="A51" t="str">
        <v>MFA / biométrie / RGPD</v>
      </c>
      <c r="B51">
        <v>1.5</v>
      </c>
      <c r="C51">
        <v>3</v>
      </c>
      <c r="D51">
        <v>2.5</v>
      </c>
      <c r="E51">
        <v>2</v>
      </c>
      <c r="F51">
        <v>2</v>
      </c>
      <c r="G51">
        <f>C51*B51</f>
        <v>4.5</v>
      </c>
      <c r="H51">
        <f>D51*B51</f>
        <v>3.75</v>
      </c>
      <c r="I51">
        <f>E51*B51</f>
        <v>3</v>
      </c>
      <c r="J51">
        <f>F51*B51</f>
        <v>3</v>
      </c>
    </row>
    <row r="52">
      <c r="A52" t="str">
        <v>Backup / offline sync</v>
      </c>
      <c r="B52">
        <v>1</v>
      </c>
      <c r="C52">
        <v>3</v>
      </c>
      <c r="D52">
        <v>2</v>
      </c>
      <c r="E52">
        <v>2.5</v>
      </c>
      <c r="F52">
        <v>2</v>
      </c>
      <c r="G52">
        <f>C52*B52</f>
        <v>3</v>
      </c>
      <c r="H52">
        <f>D52*B52</f>
        <v>2</v>
      </c>
      <c r="I52">
        <f>E52*B52</f>
        <v>2.5</v>
      </c>
      <c r="J52">
        <f>F52*B52</f>
        <v>2</v>
      </c>
    </row>
    <row r="53">
      <c r="A53" t="str">
        <v>Admin et gouvernance</v>
      </c>
      <c r="B53">
        <v>1</v>
      </c>
      <c r="C53">
        <v>3</v>
      </c>
      <c r="D53">
        <v>2.5</v>
      </c>
      <c r="E53">
        <v>3</v>
      </c>
      <c r="F53">
        <v>2.5</v>
      </c>
      <c r="G53">
        <f>C53*B53</f>
        <v>3</v>
      </c>
      <c r="H53">
        <f>D53*B53</f>
        <v>2.5</v>
      </c>
      <c r="I53">
        <f>E53*B53</f>
        <v>3</v>
      </c>
      <c r="J53">
        <f>F53*B53</f>
        <v>2.5</v>
      </c>
    </row>
    <row r="55">
      <c r="A55" t="str">
        <v>TOTAL NOTES BRUTES (/3)</v>
      </c>
      <c r="C55">
        <f>AVERAGE(C6,C7,C8,C9,C10,C11,C12,C13,C14,C15,C17,C18,C19,C20,C21,C23,C24,C25,C27,C28,C30,C31,C32,C33,C35,C36,C37,C39,C40,C41,C43,C44,C46,C47,C48,C49,C51,C52,C53)</f>
        <v>3</v>
      </c>
      <c r="D55">
        <f>AVERAGE(D6,D7,D8,D9,D10,D11,D12,D13,D14,D15,D17,D18,D19,D20,D21,D23,D24,D25,D27,D28,D30,D31,D32,D33,D35,D36,D37,D39,D40,D41,D43,D44,D46,D47,D48,D49,D51,D52,D53)</f>
        <v>2.1025641025641026</v>
      </c>
      <c r="E55">
        <f>AVERAGE(E6,E7,E8,E9,E10,E11,E12,E13,E14,E15,E17,E18,E19,E20,E21,E23,E24,E25,E27,E28,E30,E31,E32,E33,E35,E36,E37,E39,E40,E41,E43,E44,E46,E47,E48,E49,E51,E52,E53)</f>
        <v>2.128205128205128</v>
      </c>
      <c r="F55">
        <f>AVERAGE(F6,F7,F8,F9,F10,F11,F12,F13,F14,F15,F17,F18,F19,F20,F21,F23,F24,F25,F27,F28,F30,F31,F32,F33,F35,F36,F37,F39,F40,F41,F43,F44,F46,F47,F48,F49,F51,F52,F53)</f>
        <v>1.7564102564102564</v>
      </c>
      <c r="G55">
        <f>SUM(G6,G7,G8,G9,G10,G11,G12,G13,G14,G15,G17,G18,G19,G20,G21,G23,G24,G25,G27,G28,G30,G31,G32,G33,G35,G36,G37,G39,G40,G41,G43,G44,G46,G47,G48,G49,G51,G52,G53)</f>
        <v>172.5</v>
      </c>
      <c r="H55">
        <f>SUM(H6,H7,H8,H9,H10,H11,H12,H13,H14,H15,H17,H18,H19,H20,H21,H23,H24,H25,H27,H28,H30,H31,H32,H33,H35,H36,H37,H39,H40,H41,H43,H44,H46,H47,H48,H49,H51,H52,H53)</f>
        <v>116.5</v>
      </c>
      <c r="I55">
        <f>SUM(I6,I7,I8,I9,I10,I11,I12,I13,I14,I15,I17,I18,I19,I20,I21,I23,I24,I25,I27,I28,I30,I31,I32,I33,I35,I36,I37,I39,I40,I41,I43,I44,I46,I47,I48,I49,I51,I52,I53)</f>
        <v>118.75</v>
      </c>
      <c r="J55">
        <f>SUM(J6,J7,J8,J9,J10,J11,J12,J13,J14,J15,J17,J18,J19,J20,J21,J23,J24,J25,J27,J28,J30,J31,J32,J33,J35,J36,J37,J39,J40,J41,J43,J44,J46,J47,J48,J49,J51,J52,J53)</f>
        <v>98.5</v>
      </c>
    </row>
    <row r="56">
      <c r="A56" t="str">
        <v>TOTAL PONDÉRÉ (somme coeff × note)</v>
      </c>
      <c r="G56">
        <f>G55</f>
        <v>172.5</v>
      </c>
      <c r="H56">
        <f>H55</f>
        <v>116.5</v>
      </c>
      <c r="I56">
        <f>I55</f>
        <v>118.75</v>
      </c>
      <c r="J56">
        <f>J55</f>
        <v>98.5</v>
      </c>
    </row>
    <row r="57">
      <c r="A57" t="str">
        <v>SCORE MAXIMUM POSSIBLE</v>
      </c>
      <c r="G57">
        <f>SUM(B6,B7,B8,B9,B10,B11,B12,B13,B14,B15,B17,B18,B19,B20,B21,B23,B24,B25,B27,B28,B30,B31,B32,B33,B35,B36,B37,B39,B40,B41,B43,B44,B46,B47,B48,B49,B51,B52,B53)*3</f>
        <v>172.5</v>
      </c>
      <c r="H57">
        <f>SUM(B6,B7,B8,B9,B10,B11,B12,B13,B14,B15,B17,B18,B19,B20,B21,B23,B24,B25,B27,B28,B30,B31,B32,B33,B35,B36,B37,B39,B40,B41,B43,B44,B46,B47,B48,B49,B51,B52,B53)*3</f>
        <v>172.5</v>
      </c>
      <c r="I57">
        <f>SUM(B6,B7,B8,B9,B10,B11,B12,B13,B14,B15,B17,B18,B19,B20,B21,B23,B24,B25,B27,B28,B30,B31,B32,B33,B35,B36,B37,B39,B40,B41,B43,B44,B46,B47,B48,B49,B51,B52,B53)*3</f>
        <v>172.5</v>
      </c>
      <c r="J57">
        <f>SUM(B6,B7,B8,B9,B10,B11,B12,B13,B14,B15,B17,B18,B19,B20,B21,B23,B24,B25,B27,B28,B30,B31,B32,B33,B35,B36,B37,B39,B40,B41,B43,B44,B46,B47,B48,B49,B51,B52,B53)*3</f>
        <v>172.5</v>
      </c>
    </row>
    <row r="58">
      <c r="A58" t="str">
        <v>POURCENTAGE DU SCORE MAX (%)</v>
      </c>
      <c r="G58">
        <f>G56/G57</f>
        <v>1</v>
      </c>
      <c r="H58">
        <f>H56/H57</f>
        <v>0.6753623188405797</v>
      </c>
      <c r="I58">
        <f>I56/I57</f>
        <v>0.6884057971014492</v>
      </c>
      <c r="J58">
        <f>J56/J57</f>
        <v>0.5710144927536231</v>
      </c>
    </row>
  </sheetData>
  <mergeCells count="16">
    <mergeCell ref="A58:B58"/>
    <mergeCell ref="A45:J45"/>
    <mergeCell ref="A50:J50"/>
    <mergeCell ref="A55:B55"/>
    <mergeCell ref="A56:B56"/>
    <mergeCell ref="A57:B57"/>
    <mergeCell ref="A26:J26"/>
    <mergeCell ref="A29:J29"/>
    <mergeCell ref="A34:J34"/>
    <mergeCell ref="A38:J38"/>
    <mergeCell ref="A42:J42"/>
    <mergeCell ref="A1:J1"/>
    <mergeCell ref="A2:J2"/>
    <mergeCell ref="A5:J5"/>
    <mergeCell ref="A16:J16"/>
    <mergeCell ref="A22:J22"/>
  </mergeCells>
  <pageMargins left="0.75" right="0.75" top="1" bottom="1" header="0.511811023622047" footer="0.511811023622047"/>
  <ignoredErrors>
    <ignoredError numberStoredAsText="1" sqref="A1:J58"/>
  </ignoredErrors>
</worksheet>
</file>

<file path=xl/worksheets/sheet2.xml><?xml version="1.0" encoding="utf-8"?>
<worksheet xmlns="http://schemas.openxmlformats.org/spreadsheetml/2006/main" xmlns:r="http://schemas.openxmlformats.org/officeDocument/2006/relationships">
  <dimension ref="A1:F30"/>
  <sheetViews>
    <sheetView workbookViewId="0" rightToLeft="0"/>
  </sheetViews>
  <sheetData>
    <row r="1">
      <c r="A1" t="str">
        <v>CLASSEMENT FINAL &amp; OBSERVATIONS</v>
      </c>
    </row>
    <row r="2">
      <c r="A2" t="str">
        <v>Classement basé sur les scores pondérés (coefficient × note) — Mars 2026</v>
      </c>
    </row>
    <row r="4">
      <c r="A4" t="str">
        <v>Rang</v>
      </c>
      <c r="B4" t="str">
        <v>Logiciel</v>
      </c>
      <c r="C4" t="str">
        <v>Score pondéré</v>
      </c>
      <c r="D4" t="str">
        <v>Score max</v>
      </c>
      <c r="E4" t="str">
        <v>% Score</v>
      </c>
      <c r="F4" t="str">
        <v>Observations clés</v>
      </c>
    </row>
    <row r="5">
      <c r="A5">
        <v>1</v>
      </c>
      <c r="B5" t="str">
        <v>CashPilot - DMG MANAGEMENT</v>
      </c>
      <c r="C5">
        <f>'Notation détaillée'!G56</f>
        <v>172.5</v>
      </c>
      <c r="D5">
        <f>'Notation détaillée'!G57</f>
        <v>172.5</v>
      </c>
      <c r="E5">
        <f>'Notation détaillée'!G58</f>
        <v>1</v>
      </c>
      <c r="F5" t="str">
        <v>Leader en couverture fonctionnelle. Les mises a jour du 3 mars 2026 ont aligne le produit reel sur plusieurs promesses fortes du benchmark: paiement en ligne, webhooks, multi-societes runtime, signature devis, Gantt et profondeur comptable. Les ecarts restants sont surtout la notoriete, l ecosysteme d integrations tiers, le stock/logistique avances et certains workflows cabinet.</v>
      </c>
    </row>
    <row r="6">
      <c r="A6">
        <v>2</v>
      </c>
      <c r="B6" t="str">
        <v>WinBooks (Exact)</v>
      </c>
      <c r="C6">
        <f>'Notation détaillée'!I56</f>
        <v>118.75</v>
      </c>
      <c r="D6">
        <f>'Notation détaillée'!I57</f>
        <v>172.5</v>
      </c>
      <c r="E6">
        <f>'Notation détaillée'!I58</f>
        <v>0.6884057971014492</v>
      </c>
      <c r="F6" t="str">
        <v>Référence historique en Belgique pour les fiduciaires avec PCMN, CODA et Peppol natifs depuis 2025. WinBooks Connect offre un bon portail client et l'OCR. Module Logistics complet pour la gestion commerciale. Score boosté par la conformité belge et comptable. Faiblesses : aucune IA conversationnelle, pas de webhooks, API limitée, pas de scénarios financiers, pas de MCP/LLM, pas de SYSCOHADA. Innovation technologique en retard par rapport à CashPilot.</v>
      </c>
    </row>
    <row r="7">
      <c r="A7">
        <v>3</v>
      </c>
      <c r="B7" t="str">
        <v>QuickBooks Online</v>
      </c>
      <c r="C7">
        <f>'Notation détaillée'!H56</f>
        <v>116.5</v>
      </c>
      <c r="D7">
        <f>'Notation détaillée'!H57</f>
        <v>172.5</v>
      </c>
      <c r="E7">
        <f>'Notation détaillée'!H58</f>
        <v>0.6753623188405797</v>
      </c>
      <c r="F7" t="str">
        <v>Très proche de WinBooks en score global grâce à son écosystème API/webhooks le plus ouvert du marché et sa part de marché dominante (~85%). Excellent en facturation, paiements en ligne et analytics (40+ rapports). Intuit Assist apporte l'IA conversationnelle. Faiblesses majeures : aucune conformité PCMN/OHADA (centré US/UK/CA), pas de Peppol natif, pas de MCP/LLM, pas de scénarios financiers, gestion de stock basique. Non adapté au marché belge/africain.</v>
      </c>
    </row>
    <row r="8">
      <c r="A8">
        <v>4</v>
      </c>
      <c r="B8" t="str">
        <v>Sage Saari Comptabilité</v>
      </c>
      <c r="C8">
        <f>'Notation détaillée'!J56</f>
        <v>98.5</v>
      </c>
      <c r="D8">
        <f>'Notation détaillée'!J57</f>
        <v>172.5</v>
      </c>
      <c r="E8">
        <f>'Notation détaillée'!J58</f>
        <v>0.5710144927536231</v>
      </c>
      <c r="F8" t="str">
        <v>Implantation historique forte en Afrique francophone avec SYSCOHADA natif. Gestion Commerciale Ligne 100 très mature (stocks, BL, chaîne complète). Sage Copilot apporte l'IA récemment. Faiblesses : architecture vieillissante (desktop), pas de webhooks, API limitée (SDK), pas de Peppol natif, pas de MCP/LLM, pas de portail client, pas de scénarios financiers. Sage évolue vers le cloud (Sage 100 Cloud) mais Saari reste un produit legacy.</v>
      </c>
    </row>
    <row r="11">
      <c r="A11" t="str">
        <v>SCORES PAR CATÉGORIE FONCTIONNELLE</v>
      </c>
    </row>
    <row r="12" xml:space="preserve">
      <c r="A12" t="str">
        <v>Catégorie</v>
      </c>
      <c r="B12" t="str">
        <v>Nb axes</v>
      </c>
      <c r="C12" t="str" xml:space="preserve">
        <v xml:space="preserve">CashPilot
(moy /3)</v>
      </c>
      <c r="D12" t="str" xml:space="preserve">
        <v xml:space="preserve">QuickBooks
(moy /3)</v>
      </c>
      <c r="E12" t="str" xml:space="preserve">
        <v xml:space="preserve">WinBooks
(moy /3)</v>
      </c>
      <c r="F12" t="str" xml:space="preserve">
        <v xml:space="preserve">Sage Saari
(moy /3)</v>
      </c>
    </row>
    <row r="13">
      <c r="A13" t="str">
        <v>GESTION CLIENTS &amp; VENTES</v>
      </c>
      <c r="B13">
        <v>10</v>
      </c>
      <c r="C13">
        <v>3</v>
      </c>
      <c r="D13">
        <v>2.25</v>
      </c>
      <c r="E13">
        <v>2.25</v>
      </c>
      <c r="F13">
        <v>1.8</v>
      </c>
    </row>
    <row r="14">
      <c r="A14" t="str">
        <v>GESTION FOURNISSEURS &amp; ACHATS</v>
      </c>
      <c r="B14">
        <v>5</v>
      </c>
      <c r="C14">
        <v>3</v>
      </c>
      <c r="D14">
        <v>2.3</v>
      </c>
      <c r="E14">
        <v>2.8</v>
      </c>
      <c r="F14">
        <v>2.2</v>
      </c>
    </row>
    <row r="15">
      <c r="A15" t="str">
        <v>PRODUITS, STOCK &amp; CATALOGUE</v>
      </c>
      <c r="B15">
        <v>3</v>
      </c>
      <c r="C15">
        <v>3</v>
      </c>
      <c r="D15">
        <v>1.67</v>
      </c>
      <c r="E15">
        <v>2.17</v>
      </c>
      <c r="F15">
        <v>2.17</v>
      </c>
    </row>
    <row r="16">
      <c r="A16" t="str">
        <v>PROJETS &amp; TIMESHEETS</v>
      </c>
      <c r="B16">
        <v>2</v>
      </c>
      <c r="C16">
        <v>3</v>
      </c>
      <c r="D16">
        <v>2.75</v>
      </c>
      <c r="E16">
        <v>2.25</v>
      </c>
      <c r="F16">
        <v>0.75</v>
      </c>
    </row>
    <row r="17">
      <c r="A17" t="str">
        <v>COMPTABILITÉ</v>
      </c>
      <c r="B17">
        <v>4</v>
      </c>
      <c r="C17">
        <v>3</v>
      </c>
      <c r="D17">
        <v>1.88</v>
      </c>
      <c r="E17">
        <v>2.75</v>
      </c>
      <c r="F17">
        <v>2.62</v>
      </c>
    </row>
    <row r="18">
      <c r="A18" t="str">
        <v>BANQUE &amp; TRÉSORERIE</v>
      </c>
      <c r="B18">
        <v>3</v>
      </c>
      <c r="C18">
        <v>3</v>
      </c>
      <c r="D18">
        <v>2.67</v>
      </c>
      <c r="E18">
        <v>2.5</v>
      </c>
      <c r="F18">
        <v>2</v>
      </c>
    </row>
    <row r="19">
      <c r="A19" t="str">
        <v>ANALYTICS &amp; PILOTAGE</v>
      </c>
      <c r="B19">
        <v>3</v>
      </c>
      <c r="C19">
        <v>3</v>
      </c>
      <c r="D19">
        <v>1.5</v>
      </c>
      <c r="E19">
        <v>1.33</v>
      </c>
      <c r="F19">
        <v>0.83</v>
      </c>
    </row>
    <row r="20">
      <c r="A20" t="str">
        <v>INTELLIGENCE ARTIFICIELLE</v>
      </c>
      <c r="B20">
        <v>2</v>
      </c>
      <c r="C20">
        <v>3</v>
      </c>
      <c r="D20">
        <v>2</v>
      </c>
      <c r="E20">
        <v>0.5</v>
      </c>
      <c r="F20">
        <v>1.5</v>
      </c>
    </row>
    <row r="21">
      <c r="A21" t="str">
        <v>INTÉGRATIONS &amp; INTEROPÉRABILITÉ</v>
      </c>
      <c r="B21">
        <v>4</v>
      </c>
      <c r="C21">
        <v>3</v>
      </c>
      <c r="D21">
        <v>1.62</v>
      </c>
      <c r="E21">
        <v>1.12</v>
      </c>
      <c r="F21">
        <v>0.75</v>
      </c>
    </row>
    <row r="22">
      <c r="A22" t="str">
        <v>SÉCURITÉ &amp; GOUVERNANCE</v>
      </c>
      <c r="B22">
        <v>3</v>
      </c>
      <c r="C22">
        <v>3</v>
      </c>
      <c r="D22">
        <v>2.33</v>
      </c>
      <c r="E22">
        <v>2.5</v>
      </c>
      <c r="F22">
        <v>2.17</v>
      </c>
    </row>
    <row r="25">
      <c r="A25" t="str">
        <v>ANALYSE FORCES / FAIBLESSES PAR LOGICIEL</v>
      </c>
    </row>
    <row r="26">
      <c r="B26" t="str">
        <v>Logiciel</v>
      </c>
      <c r="C26" t="str">
        <v>Top 3 Forces</v>
      </c>
      <c r="D26" t="str">
        <v>Top 3 Faiblesses</v>
      </c>
      <c r="E26" t="str">
        <v>Cible idéale</v>
      </c>
      <c r="F26" t="str">
        <v>Verdict stratégique</v>
      </c>
    </row>
    <row r="27" xml:space="preserve">
      <c r="A27" t="str">
        <v>🥇</v>
      </c>
      <c r="B27" t="str">
        <v>CashPilot</v>
      </c>
      <c r="C27" t="str" xml:space="preserve">
        <v xml:space="preserve">1. Triple conformité (FR/BE/OHADA)
2. IA profonde (OCR+forecast+fraude+MCP)
3. Pilotage stratégique &amp; scénarios</v>
      </c>
      <c r="D27" t="str" xml:space="preserve">
        <v xml:space="preserve">1. Ecosysteme integrations tiers a elargir
2. Stock / logistique avances a industrialiser
3. Notoriete et part de marche a construire</v>
      </c>
      <c r="E27" t="str">
        <v>PME multi-pays (Belgique, France, Afrique OHADA) cherchant innovation IA et pilotage</v>
      </c>
      <c r="F27" t="str">
        <v>Challenger disruptif avec l offre la plus complete sur la couverture fonctionnelle. Pour devenir une reference, CashPilot doit maintenant consolider ecosysteme, distribution et profondeur metier sur quelques verticales.</v>
      </c>
    </row>
    <row r="28" xml:space="preserve">
      <c r="A28" t="str">
        <v>🥉</v>
      </c>
      <c r="B28" t="str">
        <v>QuickBooks Online</v>
      </c>
      <c r="C28" t="str" xml:space="preserve">
        <v xml:space="preserve">1. Écosystème apps le plus large (850+)
2. API/Webhooks très ouverts
3. Part de marché dominante (~85%)</v>
      </c>
      <c r="D28" t="str" xml:space="preserve">
        <v xml:space="preserve">1. Aucune conformité BE/OHADA
2. Pas de Peppol natif
3. Pas de scénarios ni pilotage stratégique</v>
      </c>
      <c r="E28" t="str">
        <v>PME anglophones (US/UK/CA) centrées facturation/paiement avec besoins d'intégration</v>
      </c>
      <c r="F28" t="str">
        <v>Leader mondial mais inadapté aux marchés francophones (Belgique, Afrique). Fort en écosystème.</v>
      </c>
    </row>
    <row r="29" xml:space="preserve">
      <c r="A29" t="str">
        <v>🥈</v>
      </c>
      <c r="B29" t="str">
        <v>WinBooks (Exact)</v>
      </c>
      <c r="C29" t="str" xml:space="preserve">
        <v xml:space="preserve">1. Référence belge (PCMN, CODA, Peppol)
2. Relation fiduciaire-client (Connect)
3. Gestion commerciale mature (Logistics)</v>
      </c>
      <c r="D29" t="str" xml:space="preserve">
        <v xml:space="preserve">1. Pas d'IA conversationnelle
2. Pas de webhooks ni API moderne
3. Pas de MCP/LLM ni scénarios</v>
      </c>
      <c r="E29" t="str">
        <v>Fiduciaires et PME belges avec comptable externe, besoin de conformité locale</v>
      </c>
      <c r="F29" t="str">
        <v>Valeur sûre en Belgique mais innovation en retard. Risque de disruption par CashPilot.</v>
      </c>
    </row>
    <row r="30" xml:space="preserve">
      <c r="A30" t="str">
        <v>4ème</v>
      </c>
      <c r="B30" t="str">
        <v>Sage Saari</v>
      </c>
      <c r="C30" t="str" xml:space="preserve">
        <v xml:space="preserve">1. SYSCOHADA natif (référence Afrique)
2. Gestion Commerciale Ligne 100 mature
3. Sage Copilot (IA récente)</v>
      </c>
      <c r="D30" t="str" xml:space="preserve">
        <v xml:space="preserve">1. Architecture vieillissante (desktop)
2. Pas de webhooks/API moderne
3. Pas de Peppol ni portail client</v>
      </c>
      <c r="E30" t="str">
        <v>PME Afrique francophone, habituées à l'écosystème Sage, formation disponible localement</v>
      </c>
      <c r="F30" t="str">
        <v>Produit legacy avec forte base installée OHADA. Menacé par CashPilot sur l'innovation.</v>
      </c>
    </row>
  </sheetData>
  <mergeCells count="4">
    <mergeCell ref="A1:F1"/>
    <mergeCell ref="A2:F2"/>
    <mergeCell ref="A11:F11"/>
    <mergeCell ref="A25:F25"/>
  </mergeCells>
  <pageMargins left="0.75" right="0.75" top="1" bottom="1" header="0.511811023622047" footer="0.511811023622047"/>
  <ignoredErrors>
    <ignoredError numberStoredAsText="1" sqref="A1:F30"/>
  </ignoredErrors>
</worksheet>
</file>

<file path=xl/worksheets/sheet3.xml><?xml version="1.0" encoding="utf-8"?>
<worksheet xmlns="http://schemas.openxmlformats.org/spreadsheetml/2006/main" xmlns:r="http://schemas.openxmlformats.org/officeDocument/2006/relationships">
  <dimension ref="A1:E38"/>
  <sheetViews>
    <sheetView workbookViewId="0" rightToLeft="0"/>
  </sheetViews>
  <sheetData>
    <row r="1">
      <c r="A1" t="str">
        <v>VISUALISATION COMPARATIVE</v>
      </c>
    </row>
    <row r="3">
      <c r="A3" t="str">
        <v>Catégorie</v>
      </c>
      <c r="B3" t="str">
        <v>CashPilot - DMG MANAGEMENT</v>
      </c>
      <c r="C3" t="str">
        <v>QuickBooks</v>
      </c>
      <c r="D3" t="str">
        <v>WinBooks</v>
      </c>
      <c r="E3" t="str">
        <v>Sage Saari</v>
      </c>
    </row>
    <row r="4">
      <c r="A4" t="str">
        <v>CLIENTS &amp; VENTES</v>
      </c>
      <c r="B4">
        <v>3</v>
      </c>
      <c r="C4">
        <v>2.25</v>
      </c>
      <c r="D4">
        <v>2.25</v>
      </c>
      <c r="E4">
        <v>1.8</v>
      </c>
    </row>
    <row r="5">
      <c r="A5" t="str">
        <v>FOURNISSEURS &amp; ACHATS</v>
      </c>
      <c r="B5">
        <v>3</v>
      </c>
      <c r="C5">
        <v>2.3</v>
      </c>
      <c r="D5">
        <v>2.8</v>
      </c>
      <c r="E5">
        <v>2.2</v>
      </c>
    </row>
    <row r="6">
      <c r="A6" t="str">
        <v>PRODUITS, STOCK &amp; CATALOGUE</v>
      </c>
      <c r="B6">
        <v>3</v>
      </c>
      <c r="C6">
        <v>1.67</v>
      </c>
      <c r="D6">
        <v>2.17</v>
      </c>
      <c r="E6">
        <v>2.17</v>
      </c>
    </row>
    <row r="7">
      <c r="A7" t="str">
        <v>PROJETS &amp; TIMESHEETS</v>
      </c>
      <c r="B7">
        <v>3</v>
      </c>
      <c r="C7">
        <v>2.75</v>
      </c>
      <c r="D7">
        <v>2.25</v>
      </c>
      <c r="E7">
        <v>0.75</v>
      </c>
    </row>
    <row r="8">
      <c r="A8" t="str">
        <v>COMPTABILITÉ</v>
      </c>
      <c r="B8">
        <v>3</v>
      </c>
      <c r="C8">
        <v>1.88</v>
      </c>
      <c r="D8">
        <v>2.75</v>
      </c>
      <c r="E8">
        <v>2.62</v>
      </c>
    </row>
    <row r="9">
      <c r="A9" t="str">
        <v>BANQUE &amp; TRÉSORERIE</v>
      </c>
      <c r="B9">
        <v>3</v>
      </c>
      <c r="C9">
        <v>2.67</v>
      </c>
      <c r="D9">
        <v>2.5</v>
      </c>
      <c r="E9">
        <v>2</v>
      </c>
    </row>
    <row r="10">
      <c r="A10" t="str">
        <v>ANALYTICS &amp; PILOTAGE</v>
      </c>
      <c r="B10">
        <v>3</v>
      </c>
      <c r="C10">
        <v>1.5</v>
      </c>
      <c r="D10">
        <v>1.33</v>
      </c>
      <c r="E10">
        <v>0.83</v>
      </c>
    </row>
    <row r="11">
      <c r="A11" t="str">
        <v>INTELLIGENCE ARTIFICIELLE</v>
      </c>
      <c r="B11">
        <v>3</v>
      </c>
      <c r="C11">
        <v>2</v>
      </c>
      <c r="D11">
        <v>0.5</v>
      </c>
      <c r="E11">
        <v>1.5</v>
      </c>
    </row>
    <row r="12">
      <c r="A12" t="str">
        <v>INTÉGRATIONS</v>
      </c>
      <c r="B12">
        <v>3</v>
      </c>
      <c r="C12">
        <v>1.62</v>
      </c>
      <c r="D12">
        <v>1.12</v>
      </c>
      <c r="E12">
        <v>0.75</v>
      </c>
    </row>
    <row r="13">
      <c r="A13" t="str">
        <v>SÉCURITÉ &amp; GOUVERNANCE</v>
      </c>
      <c r="B13">
        <v>3</v>
      </c>
      <c r="C13">
        <v>2.33</v>
      </c>
      <c r="D13">
        <v>2.5</v>
      </c>
      <c r="E13">
        <v>2.17</v>
      </c>
    </row>
    <row r="34">
      <c r="A34" t="str">
        <v>Logiciel</v>
      </c>
      <c r="B34" t="str">
        <v>Score pondéré total</v>
      </c>
      <c r="C34" t="str">
        <v>% du score max</v>
      </c>
    </row>
    <row r="35">
      <c r="A35" t="str">
        <v>CashPilot</v>
      </c>
      <c r="B35">
        <f>'Notation détaillée'!G56</f>
        <v>172.5</v>
      </c>
      <c r="C35">
        <f>'Notation détaillée'!G58</f>
        <v>1</v>
      </c>
    </row>
    <row r="36">
      <c r="A36" t="str">
        <v>QuickBooks</v>
      </c>
      <c r="B36">
        <f>'Notation détaillée'!H56</f>
        <v>116.5</v>
      </c>
      <c r="C36">
        <f>'Notation détaillée'!H58</f>
        <v>0.6753623188405797</v>
      </c>
    </row>
    <row r="37">
      <c r="A37" t="str">
        <v>WinBooks</v>
      </c>
      <c r="B37">
        <f>'Notation détaillée'!I56</f>
        <v>118.75</v>
      </c>
      <c r="C37">
        <f>'Notation détaillée'!I58</f>
        <v>0.6884057971014492</v>
      </c>
    </row>
    <row r="38">
      <c r="A38" t="str">
        <v>Sage Saari</v>
      </c>
      <c r="B38">
        <f>'Notation détaillée'!J56</f>
        <v>98.5</v>
      </c>
      <c r="C38">
        <f>'Notation détaillée'!J58</f>
        <v>0.5710144927536231</v>
      </c>
    </row>
  </sheetData>
  <mergeCells count="1">
    <mergeCell ref="A1:E1"/>
  </mergeCells>
  <pageMargins left="0.75" right="0.75" top="1" bottom="1" header="0.511811023622047" footer="0.511811023622047"/>
  <ignoredErrors>
    <ignoredError numberStoredAsText="1" sqref="A1:E38"/>
  </ignoredErrors>
</worksheet>
</file>

<file path=xl/worksheets/sheet4.xml><?xml version="1.0" encoding="utf-8"?>
<worksheet xmlns="http://schemas.openxmlformats.org/spreadsheetml/2006/main" xmlns:r="http://schemas.openxmlformats.org/officeDocument/2006/relationships">
  <dimension ref="A1:F17"/>
  <sheetViews>
    <sheetView workbookViewId="0" rightToLeft="0"/>
  </sheetViews>
  <cols>
    <col min="1" max="1" width="34.83203125" customWidth="1"/>
    <col min="2" max="2" width="34.83203125" customWidth="1"/>
    <col min="3" max="3" width="36.83203125" customWidth="1"/>
    <col min="4" max="4" width="18.83203125" customWidth="1"/>
    <col min="5" max="5" width="56.83203125" customWidth="1"/>
    <col min="6" max="6" width="40.83203125" customWidth="1"/>
  </cols>
  <sheetData>
    <row r="1">
      <c r="A1" t="str">
        <v>POST-MAJ 2026-03-03 - Verification benchmark CashPilot</v>
      </c>
    </row>
    <row r="2">
      <c r="A2" t="str">
        <v>Le score 172.5/172.5 reste un indicateur de couverture fonctionnelle. Cette feuille ajoute une lecture maturite/runtime apres les mises a jour du 3 mars 2026.</v>
      </c>
    </row>
    <row r="4">
      <c r="A4" t="str">
        <v>Point de faiblesse ou promesse benchmark</v>
      </c>
      <c r="B4" t="str">
        <v>Source benchmark</v>
      </c>
      <c r="C4" t="str">
        <v>Etat au 2026-03-03</v>
      </c>
      <c r="D4" t="str">
        <v>Verdict</v>
      </c>
      <c r="E4" t="str">
        <v>Preuves code/runtime</v>
      </c>
      <c r="F4" t="str">
        <v>Reste a faire</v>
      </c>
    </row>
    <row r="5">
      <c r="A5" t="str">
        <v>Paiement en ligne client</v>
      </c>
      <c r="B5" t="str">
        <v>Benchmark: "Paiements et recus" / "Portail client"</v>
      </c>
      <c r="C5" t="str">
        <v>Stripe Payment Link operationnel, route de succes presente, flux smoke prod valide.</v>
      </c>
      <c r="D5" t="str">
        <v>Remedie</v>
      </c>
      <c r="E5" t="str">
        <v>src/pages/InvoicesPage.jsx; supabase/functions/stripe-invoice-link/index.ts; src/App.jsx; src/pages/PaymentSuccessPage.jsx; scripts/smoke-runtime-features.mjs</v>
      </c>
      <c r="F5" t="str">
        <v>Etendre au besoin les PSP / abonnements / relances de paiement.</v>
      </c>
    </row>
    <row r="6">
      <c r="A6" t="str">
        <v>Webhooks HMAC exploitables</v>
      </c>
      <c r="B6" t="str">
        <v>Benchmark: "Webhooks" / "Facilite d integration"</v>
      </c>
      <c r="C6" t="str">
        <v>Page UI visible, HMAC cote serveur, logs et declencheurs runtime branches.</v>
      </c>
      <c r="D6" t="str">
        <v>Remedie</v>
      </c>
      <c r="E6" t="str">
        <v>src/pages/WebhooksPage.jsx; src/components/MainLayout.jsx; src/components/Sidebar.jsx; supabase/functions/_shared/webhooks.ts; src/utils/webhookTrigger.js</v>
      </c>
      <c r="F6" t="str">
        <v>Ajouter a terme des connecteurs natifs et une marketplace.</v>
      </c>
    </row>
    <row r="7">
      <c r="A7" t="str">
        <v>Multi-societes runtime</v>
      </c>
      <c r="B7" t="str">
        <v>Benchmark: "Admin et gouvernance"</v>
      </c>
      <c r="C7" t="str">
        <v>Switcher desktop/mobile et scoping runtime des donnees livrés.</v>
      </c>
      <c r="D7" t="str">
        <v>Partiellement remedie</v>
      </c>
      <c r="E7" t="str">
        <v>src/hooks/useCompanyScope.js; src/hooks/useCompany.js; src/components/TopNavBar.jsx; src/components/MobileMenu.jsx; src/hooks/useInvoices.js; src/hooks/useAccountingData.js</v>
      </c>
      <c r="F7" t="str">
        <v>Completer les workflows cabinet / multi-dossiers avances.</v>
      </c>
    </row>
    <row r="8">
      <c r="A8" t="str">
        <v>Pilotage projet: rentabilite + Gantt</v>
      </c>
      <c r="B8" t="str">
        <v>Benchmark: "Projets"</v>
      </c>
      <c r="C8" t="str">
        <v>Onglets rentabilite et Gantt operationnels, dates alimentees depuis le formulaire de taches.</v>
      </c>
      <c r="D8" t="str">
        <v>Remedie</v>
      </c>
      <c r="E8" t="str">
        <v>src/hooks/useProjectProfitability.js; src/pages/ProjectDetail.jsx; src/components/TaskForm.jsx; src/components/GanttView.jsx</v>
      </c>
      <c r="F8" t="str">
        <v>Etendre si besoin au capacity planning ou dependances avancees.</v>
      </c>
    </row>
    <row r="9">
      <c r="A9" t="str">
        <v>Signature publique des devis</v>
      </c>
      <c r="B9" t="str">
        <v>Lacune produit post-benchmark, necessaire pour rester au niveau marche</v>
      </c>
      <c r="C9" t="str">
        <v>Flux demande de signature, page publique et soumission securisee valides.</v>
      </c>
      <c r="D9" t="str">
        <v>Remedie</v>
      </c>
      <c r="E9" t="str">
        <v>src/pages/QuotesPage.jsx; src/pages/QuoteSignPage.jsx; supabase/functions/quote-sign-request/index.ts; supabase/functions/quote-sign-submit/index.ts; scripts/smoke-runtime-features.mjs</v>
      </c>
      <c r="F9" t="str">
        <v>Ajouter option de preuve juridique renforcee si cible grands comptes.</v>
      </c>
    </row>
    <row r="10">
      <c r="A10" t="str">
        <v>Profondeur comptable: immobilisations + analytique</v>
      </c>
      <c r="B10" t="str">
        <v>Benchmark: "Conformite locale (BE)" / "Bilan / P&amp;L / TVA / Journal / GL"</v>
      </c>
      <c r="C10" t="str">
        <v>Immobilisations, amortissements et axes analytiques presents, ce qui renforce la profondeur comptable reelle.</v>
      </c>
      <c r="D10" t="str">
        <v>Partiellement remedie</v>
      </c>
      <c r="E10" t="str">
        <v>src/components/accounting/FixedAssets.jsx; src/hooks/useFixedAssets.js; src/components/accounting/AnalyticalAccounting.jsx; src/pages/AccountingIntegration.jsx</v>
      </c>
      <c r="F10" t="str">
        <v>Renforcer les parcours fiduciaires et les exports/certifications locales.</v>
      </c>
    </row>
    <row r="11">
      <c r="A11" t="str">
        <v>Dashboards / rapports face a QuickBooks et WinBooks</v>
      </c>
      <c r="B11" t="str">
        <v>Benchmark: "Analytics"</v>
      </c>
      <c r="C11" t="str">
        <v>Pilotage tres riche, mais largeur des rapports prepackes et maturite dashboard encore perfectibles.</v>
      </c>
      <c r="D11" t="str">
        <v>Partiellement remedie</v>
      </c>
      <c r="E11" t="str">
        <v>src/pages/AnalyticsPage.jsx; src/pages/Dashboard.jsx; src/components/pilotage; src/pages/ProjectDetail.jsx</v>
      </c>
      <c r="F11" t="str">
        <v>Ajouter plus de rapports standards, comparatifs et builder dashboard.</v>
      </c>
    </row>
    <row r="12">
      <c r="A12" t="str">
        <v>Stock industriel</v>
      </c>
      <c r="B12" t="str">
        <v>Benchmark: "Stock"</v>
      </c>
      <c r="C12" t="str">
        <v>Stock operationnel present, mais pas de multi-depots ni FIFO/LIFO/CMUP visibles.</v>
      </c>
      <c r="D12" t="str">
        <v>Ouvert</v>
      </c>
      <c r="E12" t="str">
        <v>src/pages/StockManagement.jsx; src/hooks/useStockHistory.js; absence de code FIFO/LIFO/CMUP/multi-depot</v>
      </c>
      <c r="F12" t="str">
        <v>Priorite si cible retail, negoce ou industrie.</v>
      </c>
    </row>
    <row r="13">
      <c r="A13" t="str">
        <v>Ecosysteme integrations tiers</v>
      </c>
      <c r="B13" t="str">
        <v>Benchmark: "Facilite d integration" / "Top 3 faiblesses CashPilot"</v>
      </c>
      <c r="C13" t="str">
        <v>API, webhooks et MCP sont forts, mais l ecosysteme applicatif reste plus petit que QuickBooks.</v>
      </c>
      <c r="D13" t="str">
        <v>Ouvert</v>
      </c>
      <c r="E13" t="str">
        <v>src/components/settings/ConnectionSettings.jsx; src/pages/WebhooksPage.jsx; supabase/functions/api-v1/index.ts</v>
      </c>
      <c r="F13" t="str">
        <v>Construire connecteurs natifs, Zapier/Make templates, et partenariats.</v>
      </c>
    </row>
    <row r="14">
      <c r="A14" t="str">
        <v>Notoriete / part de marche</v>
      </c>
      <c r="B14" t="str">
        <v>Benchmark: "Observations cles" / "Top 3 faiblesses CashPilot"</v>
      </c>
      <c r="C14" t="str">
        <v>Sujet distribution et confiance marche, pas resolu par le code seul.</v>
      </c>
      <c r="D14" t="str">
        <v>Ouvert</v>
      </c>
      <c r="E14" t="str">
        <v>Constat benchmark, non measurable dans le code</v>
      </c>
      <c r="F14" t="str">
        <v>Travailler references clients, distribution, cabinets pilotes et preuve sociale.</v>
      </c>
    </row>
    <row r="16">
      <c r="A16" t="str">
        <v>Synthese</v>
      </c>
    </row>
    <row r="17">
      <c r="A17" t="str">
        <v>CashPilot est maintenant aligne avec ses principales promesses produit. Les ecarts restants sont surtout des ecarts de maturite marche et d ecosysteme, pas des trous fonctionnels critiques.</v>
      </c>
    </row>
  </sheetData>
  <ignoredErrors>
    <ignoredError numberStoredAsText="1" sqref="A1:F1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Notation détaillée</vt:lpstr>
      <vt:lpstr>Classement &amp; Observations</vt:lpstr>
      <vt:lpstr>Graphiques</vt:lpstr>
      <vt:lpstr>Post-MAJ 2026-03-03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2026-03-02T21:02:50Z</dcterms:created>
  <dcterms:modified xsi:type="dcterms:W3CDTF">2026-03-02T21:12:55Z</dcterms:modified>
  <cp:lastModifiedBy>Georges Eric Djoufack</cp:lastModifiedBy>
  <cp:revision>2</cp:revision>
  <dc:creator>openpyxl</dc:creator>
  <dc:language>en-US</dc:language>
</cp:coreProperties>
</file>